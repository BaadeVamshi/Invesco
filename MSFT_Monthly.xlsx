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harika_Burjukindi\Downloads\"/>
    </mc:Choice>
  </mc:AlternateContent>
  <xr:revisionPtr revIDLastSave="0" documentId="8_{3B6EADB8-0BF3-45C2-A421-896518F6EC8F}" xr6:coauthVersionLast="47" xr6:coauthVersionMax="47" xr10:uidLastSave="{00000000-0000-0000-0000-000000000000}"/>
  <bookViews>
    <workbookView xWindow="-108" yWindow="-108" windowWidth="23256" windowHeight="12456" xr2:uid="{7611C44C-430F-45D7-B6C6-4030B564F0C0}"/>
  </bookViews>
  <sheets>
    <sheet name="MSFT_Monthly" sheetId="1" r:id="rId1"/>
    <sheet name="MSFT_WACC" sheetId="3" r:id="rId2"/>
    <sheet name="SPY_Month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 a="1"/>
  <c r="M4" i="1" s="1"/>
  <c r="M5" i="1" a="1"/>
  <c r="M5" i="1" s="1"/>
  <c r="M7" i="1"/>
  <c r="I57" i="2"/>
  <c r="I58" i="2"/>
  <c r="I59" i="2"/>
  <c r="I60" i="2"/>
  <c r="I61" i="2"/>
  <c r="I6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2" i="2"/>
  <c r="D2" i="3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C2" i="3" l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A3" i="3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3" i="1" s="1"/>
  <c r="C3" i="3" l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I3" i="1"/>
  <c r="J3" i="1" s="1"/>
  <c r="H4" i="1"/>
  <c r="A26" i="3"/>
  <c r="C12" i="3"/>
  <c r="C24" i="3"/>
  <c r="C11" i="3"/>
  <c r="C13" i="3"/>
  <c r="C25" i="3"/>
  <c r="C23" i="3"/>
  <c r="C14" i="3"/>
  <c r="C4" i="3"/>
  <c r="C16" i="3"/>
  <c r="C5" i="3"/>
  <c r="C17" i="3"/>
  <c r="C6" i="3"/>
  <c r="C18" i="3"/>
  <c r="J3" i="3"/>
  <c r="C7" i="3"/>
  <c r="C19" i="3"/>
  <c r="C8" i="3"/>
  <c r="C20" i="3"/>
  <c r="C10" i="3"/>
  <c r="C22" i="3"/>
  <c r="C9" i="3" l="1"/>
  <c r="C15" i="3"/>
  <c r="C21" i="3"/>
  <c r="E17" i="3"/>
  <c r="F17" i="3" s="1"/>
  <c r="E5" i="3"/>
  <c r="F5" i="3" s="1"/>
  <c r="E16" i="3"/>
  <c r="F16" i="3" s="1"/>
  <c r="E4" i="3"/>
  <c r="F4" i="3" s="1"/>
  <c r="E15" i="3"/>
  <c r="F15" i="3" s="1"/>
  <c r="E3" i="3"/>
  <c r="F3" i="3" s="1"/>
  <c r="E14" i="3"/>
  <c r="F14" i="3" s="1"/>
  <c r="E2" i="3"/>
  <c r="F2" i="3" s="1"/>
  <c r="E22" i="3"/>
  <c r="F22" i="3" s="1"/>
  <c r="E10" i="3"/>
  <c r="F10" i="3" s="1"/>
  <c r="E25" i="3"/>
  <c r="F25" i="3" s="1"/>
  <c r="E13" i="3"/>
  <c r="F13" i="3" s="1"/>
  <c r="E24" i="3"/>
  <c r="F24" i="3" s="1"/>
  <c r="E12" i="3"/>
  <c r="F12" i="3" s="1"/>
  <c r="E23" i="3"/>
  <c r="F23" i="3" s="1"/>
  <c r="E11" i="3"/>
  <c r="F11" i="3" s="1"/>
  <c r="E21" i="3"/>
  <c r="F21" i="3" s="1"/>
  <c r="E9" i="3"/>
  <c r="F9" i="3" s="1"/>
  <c r="E7" i="3"/>
  <c r="F7" i="3" s="1"/>
  <c r="E6" i="3"/>
  <c r="F6" i="3" s="1"/>
  <c r="E20" i="3"/>
  <c r="F20" i="3" s="1"/>
  <c r="E19" i="3"/>
  <c r="F19" i="3" s="1"/>
  <c r="E18" i="3"/>
  <c r="F18" i="3" s="1"/>
  <c r="E8" i="3"/>
  <c r="F8" i="3" s="1"/>
  <c r="A27" i="3"/>
  <c r="C26" i="3"/>
  <c r="E26" i="3" s="1"/>
  <c r="F26" i="3" s="1"/>
  <c r="H5" i="1"/>
  <c r="I4" i="1"/>
  <c r="I5" i="1" s="1"/>
  <c r="J4" i="1" l="1"/>
  <c r="H6" i="1"/>
  <c r="J5" i="1"/>
  <c r="A28" i="3"/>
  <c r="C27" i="3"/>
  <c r="E27" i="3" s="1"/>
  <c r="F27" i="3" s="1"/>
  <c r="A29" i="3" l="1"/>
  <c r="C28" i="3"/>
  <c r="E28" i="3" s="1"/>
  <c r="F28" i="3" s="1"/>
  <c r="H7" i="1"/>
  <c r="I6" i="1"/>
  <c r="I7" i="1" s="1"/>
  <c r="J6" i="1" l="1"/>
  <c r="H8" i="1"/>
  <c r="J7" i="1"/>
  <c r="I8" i="1"/>
  <c r="A30" i="3"/>
  <c r="C29" i="3"/>
  <c r="E29" i="3" s="1"/>
  <c r="F29" i="3" s="1"/>
  <c r="A31" i="3" l="1"/>
  <c r="C30" i="3"/>
  <c r="E30" i="3" s="1"/>
  <c r="F30" i="3" s="1"/>
  <c r="H9" i="1"/>
  <c r="J8" i="1"/>
  <c r="H10" i="1" l="1"/>
  <c r="A32" i="3"/>
  <c r="C31" i="3"/>
  <c r="E31" i="3" s="1"/>
  <c r="F31" i="3" s="1"/>
  <c r="I9" i="1"/>
  <c r="I10" i="1" l="1"/>
  <c r="A33" i="3"/>
  <c r="C32" i="3"/>
  <c r="E32" i="3" s="1"/>
  <c r="F32" i="3" s="1"/>
  <c r="J9" i="1"/>
  <c r="H11" i="1"/>
  <c r="J10" i="1"/>
  <c r="H12" i="1" l="1"/>
  <c r="A34" i="3"/>
  <c r="C33" i="3"/>
  <c r="E33" i="3" s="1"/>
  <c r="F33" i="3" s="1"/>
  <c r="I11" i="1"/>
  <c r="I12" i="1" l="1"/>
  <c r="J12" i="1" s="1"/>
  <c r="A35" i="3"/>
  <c r="C34" i="3"/>
  <c r="E34" i="3" s="1"/>
  <c r="F34" i="3" s="1"/>
  <c r="J11" i="1"/>
  <c r="H13" i="1"/>
  <c r="H14" i="1" l="1"/>
  <c r="A36" i="3"/>
  <c r="C35" i="3"/>
  <c r="E35" i="3" s="1"/>
  <c r="F35" i="3" s="1"/>
  <c r="I13" i="1"/>
  <c r="I14" i="1" s="1"/>
  <c r="A37" i="3" l="1"/>
  <c r="C36" i="3"/>
  <c r="E36" i="3" s="1"/>
  <c r="F36" i="3" s="1"/>
  <c r="J13" i="1"/>
  <c r="H15" i="1"/>
  <c r="J14" i="1"/>
  <c r="H16" i="1" l="1"/>
  <c r="A38" i="3"/>
  <c r="C37" i="3"/>
  <c r="E37" i="3" s="1"/>
  <c r="F37" i="3" s="1"/>
  <c r="I15" i="1"/>
  <c r="I16" i="1" s="1"/>
  <c r="A39" i="3" l="1"/>
  <c r="C38" i="3"/>
  <c r="E38" i="3" s="1"/>
  <c r="F38" i="3" s="1"/>
  <c r="J15" i="1"/>
  <c r="H17" i="1"/>
  <c r="J16" i="1"/>
  <c r="H18" i="1" l="1"/>
  <c r="A40" i="3"/>
  <c r="C39" i="3"/>
  <c r="E39" i="3" s="1"/>
  <c r="F39" i="3" s="1"/>
  <c r="I17" i="1"/>
  <c r="I18" i="1" l="1"/>
  <c r="A41" i="3"/>
  <c r="C40" i="3"/>
  <c r="E40" i="3" s="1"/>
  <c r="F40" i="3" s="1"/>
  <c r="J17" i="1"/>
  <c r="H19" i="1"/>
  <c r="J18" i="1"/>
  <c r="H20" i="1" l="1"/>
  <c r="A42" i="3"/>
  <c r="C41" i="3"/>
  <c r="E41" i="3" s="1"/>
  <c r="F41" i="3" s="1"/>
  <c r="I19" i="1"/>
  <c r="I20" i="1" l="1"/>
  <c r="J20" i="1" s="1"/>
  <c r="J19" i="1"/>
  <c r="A43" i="3"/>
  <c r="C42" i="3"/>
  <c r="E42" i="3" s="1"/>
  <c r="F42" i="3" s="1"/>
  <c r="H21" i="1"/>
  <c r="H22" i="1" l="1"/>
  <c r="A44" i="3"/>
  <c r="C43" i="3"/>
  <c r="E43" i="3" s="1"/>
  <c r="F43" i="3" s="1"/>
  <c r="I21" i="1"/>
  <c r="I22" i="1" l="1"/>
  <c r="A45" i="3"/>
  <c r="C44" i="3"/>
  <c r="E44" i="3" s="1"/>
  <c r="F44" i="3" s="1"/>
  <c r="J21" i="1"/>
  <c r="H23" i="1"/>
  <c r="J22" i="1"/>
  <c r="H24" i="1" l="1"/>
  <c r="A46" i="3"/>
  <c r="C45" i="3"/>
  <c r="E45" i="3" s="1"/>
  <c r="F45" i="3" s="1"/>
  <c r="I23" i="1"/>
  <c r="I24" i="1" s="1"/>
  <c r="J23" i="1" l="1"/>
  <c r="A47" i="3"/>
  <c r="C46" i="3"/>
  <c r="E46" i="3" s="1"/>
  <c r="F46" i="3" s="1"/>
  <c r="H25" i="1"/>
  <c r="J24" i="1"/>
  <c r="A48" i="3" l="1"/>
  <c r="C47" i="3"/>
  <c r="E47" i="3" s="1"/>
  <c r="F47" i="3" s="1"/>
  <c r="H26" i="1"/>
  <c r="I25" i="1"/>
  <c r="I26" i="1" s="1"/>
  <c r="J25" i="1" l="1"/>
  <c r="H27" i="1"/>
  <c r="J26" i="1"/>
  <c r="A49" i="3"/>
  <c r="C48" i="3"/>
  <c r="E48" i="3" s="1"/>
  <c r="F48" i="3" s="1"/>
  <c r="A50" i="3" l="1"/>
  <c r="C49" i="3"/>
  <c r="E49" i="3" s="1"/>
  <c r="F49" i="3" s="1"/>
  <c r="H28" i="1"/>
  <c r="I27" i="1"/>
  <c r="I28" i="1" s="1"/>
  <c r="H29" i="1" l="1"/>
  <c r="I29" i="1" s="1"/>
  <c r="J28" i="1"/>
  <c r="J27" i="1"/>
  <c r="A51" i="3"/>
  <c r="C50" i="3"/>
  <c r="E50" i="3" s="1"/>
  <c r="F50" i="3" s="1"/>
  <c r="A52" i="3" l="1"/>
  <c r="C51" i="3"/>
  <c r="E51" i="3" s="1"/>
  <c r="F51" i="3" s="1"/>
  <c r="H30" i="1"/>
  <c r="I30" i="1" s="1"/>
  <c r="J29" i="1"/>
  <c r="H31" i="1" l="1"/>
  <c r="J30" i="1"/>
  <c r="A53" i="3"/>
  <c r="C52" i="3"/>
  <c r="E52" i="3" s="1"/>
  <c r="F52" i="3" s="1"/>
  <c r="H32" i="1" l="1"/>
  <c r="A54" i="3"/>
  <c r="C53" i="3"/>
  <c r="E53" i="3" s="1"/>
  <c r="F53" i="3" s="1"/>
  <c r="I31" i="1"/>
  <c r="I32" i="1" l="1"/>
  <c r="J32" i="1" s="1"/>
  <c r="A55" i="3"/>
  <c r="C54" i="3"/>
  <c r="E54" i="3" s="1"/>
  <c r="F54" i="3" s="1"/>
  <c r="J31" i="1"/>
  <c r="H33" i="1"/>
  <c r="I33" i="1" l="1"/>
  <c r="J33" i="1" s="1"/>
  <c r="H34" i="1"/>
  <c r="A56" i="3"/>
  <c r="C55" i="3"/>
  <c r="E55" i="3" s="1"/>
  <c r="F55" i="3" s="1"/>
  <c r="A57" i="3" l="1"/>
  <c r="C56" i="3"/>
  <c r="E56" i="3" s="1"/>
  <c r="F56" i="3" s="1"/>
  <c r="H35" i="1"/>
  <c r="I34" i="1"/>
  <c r="I35" i="1" s="1"/>
  <c r="J34" i="1" l="1"/>
  <c r="H36" i="1"/>
  <c r="J35" i="1"/>
  <c r="A58" i="3"/>
  <c r="C57" i="3"/>
  <c r="E57" i="3" s="1"/>
  <c r="F57" i="3" s="1"/>
  <c r="A59" i="3" l="1"/>
  <c r="C58" i="3"/>
  <c r="E58" i="3" s="1"/>
  <c r="F58" i="3" s="1"/>
  <c r="H37" i="1"/>
  <c r="I36" i="1"/>
  <c r="I37" i="1" s="1"/>
  <c r="J36" i="1" l="1"/>
  <c r="H38" i="1"/>
  <c r="J37" i="1"/>
  <c r="A60" i="3"/>
  <c r="C59" i="3"/>
  <c r="E59" i="3" s="1"/>
  <c r="F59" i="3" s="1"/>
  <c r="H39" i="1" l="1"/>
  <c r="I38" i="1"/>
  <c r="I39" i="1" s="1"/>
  <c r="A61" i="3"/>
  <c r="C60" i="3"/>
  <c r="E60" i="3" s="1"/>
  <c r="F60" i="3" s="1"/>
  <c r="J38" i="1" l="1"/>
  <c r="A62" i="3"/>
  <c r="C61" i="3"/>
  <c r="E61" i="3" s="1"/>
  <c r="F61" i="3" s="1"/>
  <c r="H40" i="1"/>
  <c r="J39" i="1"/>
  <c r="H41" i="1" l="1"/>
  <c r="A63" i="3"/>
  <c r="C62" i="3"/>
  <c r="E62" i="3" s="1"/>
  <c r="F62" i="3" s="1"/>
  <c r="I40" i="1"/>
  <c r="I41" i="1" s="1"/>
  <c r="A64" i="3" l="1"/>
  <c r="C63" i="3"/>
  <c r="E63" i="3" s="1"/>
  <c r="F63" i="3" s="1"/>
  <c r="J40" i="1"/>
  <c r="H42" i="1"/>
  <c r="J41" i="1"/>
  <c r="A65" i="3" l="1"/>
  <c r="C64" i="3"/>
  <c r="E64" i="3" s="1"/>
  <c r="F64" i="3" s="1"/>
  <c r="H43" i="1"/>
  <c r="I42" i="1"/>
  <c r="I43" i="1" s="1"/>
  <c r="I44" i="1" l="1"/>
  <c r="H44" i="1"/>
  <c r="J43" i="1"/>
  <c r="J42" i="1"/>
  <c r="A66" i="3"/>
  <c r="C65" i="3"/>
  <c r="E65" i="3" s="1"/>
  <c r="F65" i="3" s="1"/>
  <c r="A67" i="3" l="1"/>
  <c r="C66" i="3"/>
  <c r="E66" i="3" s="1"/>
  <c r="F66" i="3" s="1"/>
  <c r="H45" i="1"/>
  <c r="J44" i="1"/>
  <c r="H46" i="1" l="1"/>
  <c r="A68" i="3"/>
  <c r="C67" i="3"/>
  <c r="E67" i="3" s="1"/>
  <c r="F67" i="3" s="1"/>
  <c r="I45" i="1"/>
  <c r="I46" i="1" s="1"/>
  <c r="H47" i="1" l="1"/>
  <c r="I47" i="1" s="1"/>
  <c r="J46" i="1"/>
  <c r="A69" i="3"/>
  <c r="C68" i="3"/>
  <c r="E68" i="3" s="1"/>
  <c r="F68" i="3" s="1"/>
  <c r="J45" i="1"/>
  <c r="A70" i="3" l="1"/>
  <c r="C69" i="3"/>
  <c r="E69" i="3" s="1"/>
  <c r="F69" i="3" s="1"/>
  <c r="H48" i="1"/>
  <c r="J47" i="1"/>
  <c r="H49" i="1" l="1"/>
  <c r="A71" i="3"/>
  <c r="C70" i="3"/>
  <c r="E70" i="3" s="1"/>
  <c r="F70" i="3" s="1"/>
  <c r="I48" i="1"/>
  <c r="I49" i="1" l="1"/>
  <c r="J49" i="1" s="1"/>
  <c r="J48" i="1"/>
  <c r="A72" i="3"/>
  <c r="C71" i="3"/>
  <c r="E71" i="3" s="1"/>
  <c r="F71" i="3" s="1"/>
  <c r="H50" i="1"/>
  <c r="H51" i="1" l="1"/>
  <c r="A73" i="3"/>
  <c r="C72" i="3"/>
  <c r="E72" i="3" s="1"/>
  <c r="F72" i="3" s="1"/>
  <c r="I50" i="1"/>
  <c r="I51" i="1" s="1"/>
  <c r="I52" i="1" l="1"/>
  <c r="J50" i="1"/>
  <c r="A74" i="3"/>
  <c r="C73" i="3"/>
  <c r="E73" i="3" s="1"/>
  <c r="F73" i="3" s="1"/>
  <c r="H52" i="1"/>
  <c r="J51" i="1"/>
  <c r="A75" i="3" l="1"/>
  <c r="C74" i="3"/>
  <c r="E74" i="3" s="1"/>
  <c r="F74" i="3" s="1"/>
  <c r="H53" i="1"/>
  <c r="I53" i="1" s="1"/>
  <c r="J52" i="1"/>
  <c r="H54" i="1" l="1"/>
  <c r="J53" i="1"/>
  <c r="A76" i="3"/>
  <c r="C75" i="3"/>
  <c r="E75" i="3" s="1"/>
  <c r="F75" i="3" s="1"/>
  <c r="A77" i="3" l="1"/>
  <c r="C76" i="3"/>
  <c r="E76" i="3" s="1"/>
  <c r="F76" i="3" s="1"/>
  <c r="H55" i="1"/>
  <c r="I54" i="1"/>
  <c r="I55" i="1" s="1"/>
  <c r="J54" i="1" l="1"/>
  <c r="H56" i="1"/>
  <c r="I56" i="1" s="1"/>
  <c r="J55" i="1"/>
  <c r="A78" i="3"/>
  <c r="C77" i="3"/>
  <c r="E77" i="3" s="1"/>
  <c r="F77" i="3" s="1"/>
  <c r="A79" i="3" l="1"/>
  <c r="C78" i="3"/>
  <c r="E78" i="3" s="1"/>
  <c r="F78" i="3" s="1"/>
  <c r="H57" i="1"/>
  <c r="I57" i="1" s="1"/>
  <c r="J56" i="1"/>
  <c r="H58" i="1" l="1"/>
  <c r="I58" i="1" s="1"/>
  <c r="J57" i="1"/>
  <c r="A80" i="3"/>
  <c r="C79" i="3"/>
  <c r="E79" i="3" s="1"/>
  <c r="F79" i="3" s="1"/>
  <c r="A81" i="3" l="1"/>
  <c r="C80" i="3"/>
  <c r="E80" i="3" s="1"/>
  <c r="F80" i="3" s="1"/>
  <c r="H59" i="1"/>
  <c r="J58" i="1"/>
  <c r="H60" i="1" l="1"/>
  <c r="I59" i="1"/>
  <c r="J59" i="1" s="1"/>
  <c r="A82" i="3"/>
  <c r="C81" i="3"/>
  <c r="E81" i="3" s="1"/>
  <c r="F81" i="3" s="1"/>
  <c r="A83" i="3" l="1"/>
  <c r="C82" i="3"/>
  <c r="E82" i="3" s="1"/>
  <c r="F82" i="3" s="1"/>
  <c r="I60" i="1"/>
  <c r="H61" i="1"/>
  <c r="J60" i="1"/>
  <c r="I61" i="1" l="1"/>
  <c r="H62" i="1"/>
  <c r="C83" i="3"/>
  <c r="E83" i="3" s="1"/>
  <c r="F83" i="3" s="1"/>
  <c r="A84" i="3"/>
  <c r="I62" i="1" l="1"/>
  <c r="J62" i="1" s="1"/>
  <c r="C84" i="3"/>
  <c r="E84" i="3" s="1"/>
  <c r="F84" i="3" s="1"/>
  <c r="A85" i="3"/>
  <c r="J61" i="1"/>
  <c r="A86" i="3" l="1"/>
  <c r="C85" i="3"/>
  <c r="E85" i="3" s="1"/>
  <c r="F85" i="3" s="1"/>
  <c r="C86" i="3" l="1"/>
  <c r="E86" i="3" s="1"/>
  <c r="F86" i="3" s="1"/>
  <c r="A87" i="3"/>
  <c r="C87" i="3" l="1"/>
  <c r="E87" i="3" s="1"/>
  <c r="F87" i="3" s="1"/>
  <c r="A88" i="3"/>
  <c r="C88" i="3" l="1"/>
  <c r="E88" i="3" s="1"/>
  <c r="F88" i="3" s="1"/>
  <c r="A89" i="3"/>
  <c r="A90" i="3" l="1"/>
  <c r="C89" i="3"/>
  <c r="E89" i="3" s="1"/>
  <c r="F89" i="3" s="1"/>
  <c r="A91" i="3" l="1"/>
  <c r="C90" i="3"/>
  <c r="E90" i="3" s="1"/>
  <c r="F90" i="3" s="1"/>
  <c r="A92" i="3" l="1"/>
  <c r="C91" i="3"/>
  <c r="E91" i="3" s="1"/>
  <c r="F91" i="3" s="1"/>
  <c r="C92" i="3" l="1"/>
  <c r="E92" i="3" s="1"/>
  <c r="F92" i="3" s="1"/>
  <c r="A93" i="3"/>
  <c r="C93" i="3" l="1"/>
  <c r="E93" i="3" s="1"/>
  <c r="F93" i="3" s="1"/>
  <c r="A94" i="3"/>
  <c r="A95" i="3" l="1"/>
  <c r="C94" i="3"/>
  <c r="E94" i="3" s="1"/>
  <c r="F94" i="3" s="1"/>
  <c r="C95" i="3" l="1"/>
  <c r="E95" i="3" s="1"/>
  <c r="F95" i="3" s="1"/>
  <c r="A96" i="3"/>
  <c r="A97" i="3" l="1"/>
  <c r="C96" i="3"/>
  <c r="E96" i="3" s="1"/>
  <c r="F96" i="3" s="1"/>
  <c r="C97" i="3" l="1"/>
  <c r="E97" i="3" s="1"/>
  <c r="F97" i="3" s="1"/>
  <c r="A98" i="3"/>
  <c r="A99" i="3" l="1"/>
  <c r="C98" i="3"/>
  <c r="E98" i="3" s="1"/>
  <c r="F98" i="3" s="1"/>
  <c r="C99" i="3" l="1"/>
  <c r="E99" i="3" s="1"/>
  <c r="F99" i="3" s="1"/>
  <c r="A100" i="3"/>
  <c r="C100" i="3" l="1"/>
  <c r="E100" i="3" s="1"/>
  <c r="F100" i="3" s="1"/>
  <c r="A101" i="3"/>
  <c r="C101" i="3" s="1"/>
  <c r="E101" i="3" s="1"/>
  <c r="F10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<sst xmlns="http://schemas.openxmlformats.org/spreadsheetml/2006/main" count="36" uniqueCount="28">
  <si>
    <t>timestamp</t>
  </si>
  <si>
    <t>open</t>
  </si>
  <si>
    <t>high</t>
  </si>
  <si>
    <t>low</t>
  </si>
  <si>
    <t>close</t>
  </si>
  <si>
    <t>volume</t>
  </si>
  <si>
    <t>Return</t>
  </si>
  <si>
    <t>Rebase to 100</t>
  </si>
  <si>
    <t>Peak</t>
  </si>
  <si>
    <t>Drawdown</t>
  </si>
  <si>
    <t>MSFT 5Y Annualized return</t>
  </si>
  <si>
    <t>SPY 5Y Annlualized Return</t>
  </si>
  <si>
    <t>Max Drawdown</t>
  </si>
  <si>
    <t>Beta</t>
  </si>
  <si>
    <t>Debt %</t>
  </si>
  <si>
    <t>Equity %</t>
  </si>
  <si>
    <t>D/E Ratio</t>
  </si>
  <si>
    <t>Cost of Debt</t>
  </si>
  <si>
    <t>Assumed D/E at end of 2024</t>
  </si>
  <si>
    <t>Unlevered Beta</t>
  </si>
  <si>
    <t>Tax Rate</t>
  </si>
  <si>
    <t>Risk Free Rate</t>
  </si>
  <si>
    <t>Relevered Beta</t>
  </si>
  <si>
    <t>Cost of Equity</t>
  </si>
  <si>
    <t>WACC</t>
  </si>
  <si>
    <t>Optimal WACC</t>
  </si>
  <si>
    <t>Debt % at Optimal WACC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</si>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</sst>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%"/>
    <numFmt numFmtId="165" formatCode="0.00000"/>
    <numFmt numFmtId="166" formatCode="0.000%"/>
    <numFmt numFmtId="167" formatCode="0.000000000000000%"/>
    <numFmt numFmtId="168" formatCode="0.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6" fillId="0" borderId="0" xfId="0" applyFont="1"/>
    <xf numFmtId="10" fontId="16" fillId="0" borderId="0" xfId="0" applyNumberFormat="1" applyFon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6" fillId="0" borderId="0" xfId="0" applyNumberFormat="1" applyFont="1"/>
    <xf numFmtId="167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MSFT Drawdown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8"/>
          <c:order val="8"/>
          <c:tx>
            <c:strRef>
              <c:f>MSFT_Monthly!$J$1</c:f>
              <c:strCache>
                <c:ptCount val="1"/>
                <c:pt idx="0">
                  <c:v>Drawdown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MSFT_Monthly!$A$2:$A$62</c:f>
              <c:numCache>
                <c:formatCode>m/d/yyyy</c:formatCode>
                <c:ptCount val="61"/>
                <c:pt idx="0">
                  <c:v>43830</c:v>
                </c:pt>
                <c:pt idx="1">
                  <c:v>43861</c:v>
                </c:pt>
                <c:pt idx="2">
                  <c:v>43889</c:v>
                </c:pt>
                <c:pt idx="3">
                  <c:v>43921</c:v>
                </c:pt>
                <c:pt idx="4">
                  <c:v>43951</c:v>
                </c:pt>
                <c:pt idx="5">
                  <c:v>43980</c:v>
                </c:pt>
                <c:pt idx="6">
                  <c:v>44012</c:v>
                </c:pt>
                <c:pt idx="7">
                  <c:v>44043</c:v>
                </c:pt>
                <c:pt idx="8">
                  <c:v>44074</c:v>
                </c:pt>
                <c:pt idx="9">
                  <c:v>44104</c:v>
                </c:pt>
                <c:pt idx="10">
                  <c:v>44134</c:v>
                </c:pt>
                <c:pt idx="11">
                  <c:v>44165</c:v>
                </c:pt>
                <c:pt idx="12">
                  <c:v>44196</c:v>
                </c:pt>
                <c:pt idx="13">
                  <c:v>44225</c:v>
                </c:pt>
                <c:pt idx="14">
                  <c:v>44253</c:v>
                </c:pt>
                <c:pt idx="15">
                  <c:v>44286</c:v>
                </c:pt>
                <c:pt idx="16">
                  <c:v>44316</c:v>
                </c:pt>
                <c:pt idx="17">
                  <c:v>44344</c:v>
                </c:pt>
                <c:pt idx="18">
                  <c:v>44377</c:v>
                </c:pt>
                <c:pt idx="19">
                  <c:v>44407</c:v>
                </c:pt>
                <c:pt idx="20">
                  <c:v>44439</c:v>
                </c:pt>
                <c:pt idx="21">
                  <c:v>44469</c:v>
                </c:pt>
                <c:pt idx="22">
                  <c:v>44498</c:v>
                </c:pt>
                <c:pt idx="23">
                  <c:v>44530</c:v>
                </c:pt>
                <c:pt idx="24">
                  <c:v>44561</c:v>
                </c:pt>
                <c:pt idx="25">
                  <c:v>44592</c:v>
                </c:pt>
                <c:pt idx="26">
                  <c:v>44620</c:v>
                </c:pt>
                <c:pt idx="27">
                  <c:v>44651</c:v>
                </c:pt>
                <c:pt idx="28">
                  <c:v>44680</c:v>
                </c:pt>
                <c:pt idx="29">
                  <c:v>44712</c:v>
                </c:pt>
                <c:pt idx="30">
                  <c:v>44742</c:v>
                </c:pt>
                <c:pt idx="31">
                  <c:v>44771</c:v>
                </c:pt>
                <c:pt idx="32">
                  <c:v>44804</c:v>
                </c:pt>
                <c:pt idx="33">
                  <c:v>44834</c:v>
                </c:pt>
                <c:pt idx="34">
                  <c:v>44865</c:v>
                </c:pt>
                <c:pt idx="35">
                  <c:v>44895</c:v>
                </c:pt>
                <c:pt idx="36">
                  <c:v>44925</c:v>
                </c:pt>
                <c:pt idx="37">
                  <c:v>44957</c:v>
                </c:pt>
                <c:pt idx="38">
                  <c:v>44985</c:v>
                </c:pt>
                <c:pt idx="39">
                  <c:v>45016</c:v>
                </c:pt>
                <c:pt idx="40">
                  <c:v>45044</c:v>
                </c:pt>
                <c:pt idx="41">
                  <c:v>45077</c:v>
                </c:pt>
                <c:pt idx="42">
                  <c:v>45107</c:v>
                </c:pt>
                <c:pt idx="43">
                  <c:v>45138</c:v>
                </c:pt>
                <c:pt idx="44">
                  <c:v>45169</c:v>
                </c:pt>
                <c:pt idx="45">
                  <c:v>45198</c:v>
                </c:pt>
                <c:pt idx="46">
                  <c:v>45230</c:v>
                </c:pt>
                <c:pt idx="47">
                  <c:v>45260</c:v>
                </c:pt>
                <c:pt idx="48">
                  <c:v>45289</c:v>
                </c:pt>
                <c:pt idx="49">
                  <c:v>45322</c:v>
                </c:pt>
                <c:pt idx="50">
                  <c:v>45351</c:v>
                </c:pt>
                <c:pt idx="51">
                  <c:v>45379</c:v>
                </c:pt>
                <c:pt idx="52">
                  <c:v>45412</c:v>
                </c:pt>
                <c:pt idx="53">
                  <c:v>45443</c:v>
                </c:pt>
                <c:pt idx="54">
                  <c:v>45471</c:v>
                </c:pt>
                <c:pt idx="55">
                  <c:v>45504</c:v>
                </c:pt>
                <c:pt idx="56">
                  <c:v>45534</c:v>
                </c:pt>
                <c:pt idx="57">
                  <c:v>45565</c:v>
                </c:pt>
                <c:pt idx="58">
                  <c:v>45596</c:v>
                </c:pt>
                <c:pt idx="59">
                  <c:v>45625</c:v>
                </c:pt>
                <c:pt idx="60">
                  <c:v>45657</c:v>
                </c:pt>
              </c:numCache>
            </c:numRef>
          </c:cat>
          <c:val>
            <c:numRef>
              <c:f>MSFT_Monthly!$J$2:$J$62</c:f>
              <c:numCache>
                <c:formatCode>0.00%</c:formatCode>
                <c:ptCount val="61"/>
                <c:pt idx="1">
                  <c:v>0</c:v>
                </c:pt>
                <c:pt idx="2">
                  <c:v>-4.8287643188627105E-2</c:v>
                </c:pt>
                <c:pt idx="3">
                  <c:v>-7.3547494566175042E-2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-6.7396798652063827E-2</c:v>
                </c:pt>
                <c:pt idx="10">
                  <c:v>-0.10224803795503923</c:v>
                </c:pt>
                <c:pt idx="11">
                  <c:v>-5.0813607945727757E-2</c:v>
                </c:pt>
                <c:pt idx="12">
                  <c:v>-1.3789739724205163E-2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-9.9135542038842894E-3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-6.6118954551477316E-2</c:v>
                </c:pt>
                <c:pt idx="22">
                  <c:v>0</c:v>
                </c:pt>
                <c:pt idx="23">
                  <c:v>-3.105964658344007E-3</c:v>
                </c:pt>
                <c:pt idx="24">
                  <c:v>0</c:v>
                </c:pt>
                <c:pt idx="25">
                  <c:v>-7.5344907369621184E-2</c:v>
                </c:pt>
                <c:pt idx="26">
                  <c:v>-0.11159014891799046</c:v>
                </c:pt>
                <c:pt idx="27">
                  <c:v>-8.3283804612161116E-2</c:v>
                </c:pt>
                <c:pt idx="28">
                  <c:v>-0.17483354618121005</c:v>
                </c:pt>
                <c:pt idx="29">
                  <c:v>-0.19163299263698297</c:v>
                </c:pt>
                <c:pt idx="30">
                  <c:v>-0.23635233597905758</c:v>
                </c:pt>
                <c:pt idx="31">
                  <c:v>-0.16525933143258431</c:v>
                </c:pt>
                <c:pt idx="32">
                  <c:v>-0.22255592225987386</c:v>
                </c:pt>
                <c:pt idx="33">
                  <c:v>-0.30750480769788291</c:v>
                </c:pt>
                <c:pt idx="34">
                  <c:v>-0.30979426409983768</c:v>
                </c:pt>
                <c:pt idx="35">
                  <c:v>-0.24137728230919131</c:v>
                </c:pt>
                <c:pt idx="36">
                  <c:v>-0.28692910659701776</c:v>
                </c:pt>
                <c:pt idx="37">
                  <c:v>-0.26317200097609439</c:v>
                </c:pt>
                <c:pt idx="38">
                  <c:v>-0.25838489360178141</c:v>
                </c:pt>
                <c:pt idx="39">
                  <c:v>-0.14278074028363663</c:v>
                </c:pt>
                <c:pt idx="40">
                  <c:v>-8.6405801427039797E-2</c:v>
                </c:pt>
                <c:pt idx="41">
                  <c:v>-2.3578733837454458E-2</c:v>
                </c:pt>
                <c:pt idx="42">
                  <c:v>0</c:v>
                </c:pt>
                <c:pt idx="43">
                  <c:v>-1.3566687802704869E-2</c:v>
                </c:pt>
                <c:pt idx="44">
                  <c:v>-3.7528629895793864E-2</c:v>
                </c:pt>
                <c:pt idx="45">
                  <c:v>-7.2796174522928858E-2</c:v>
                </c:pt>
                <c:pt idx="46">
                  <c:v>-7.1357841329715566E-3</c:v>
                </c:pt>
                <c:pt idx="47">
                  <c:v>0</c:v>
                </c:pt>
                <c:pt idx="48">
                  <c:v>-7.5743342746299458E-3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-7.4610215820498205E-2</c:v>
                </c:pt>
                <c:pt idx="53">
                  <c:v>-1.3286746529758475E-2</c:v>
                </c:pt>
                <c:pt idx="54">
                  <c:v>0</c:v>
                </c:pt>
                <c:pt idx="55">
                  <c:v>-6.3989259111997709E-2</c:v>
                </c:pt>
                <c:pt idx="56">
                  <c:v>-6.669649699750535E-2</c:v>
                </c:pt>
                <c:pt idx="57">
                  <c:v>-3.7252533006991162E-2</c:v>
                </c:pt>
                <c:pt idx="58">
                  <c:v>-9.0837899298850111E-2</c:v>
                </c:pt>
                <c:pt idx="59">
                  <c:v>-5.2556257913496829E-2</c:v>
                </c:pt>
                <c:pt idx="60">
                  <c:v>-5.694151343681586E-2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4F-4073-8B1D-A28D4873F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874415"/>
        <c:axId val="119487633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MSFT_Monthly!$B$1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MSFT_Monthly!$B$2:$B$62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151.81</c:v>
                      </c:pt>
                      <c:pt idx="1">
                        <c:v>158.78</c:v>
                      </c:pt>
                      <c:pt idx="2">
                        <c:v>170.42999</c:v>
                      </c:pt>
                      <c:pt idx="3">
                        <c:v>165.31</c:v>
                      </c:pt>
                      <c:pt idx="4">
                        <c:v>153</c:v>
                      </c:pt>
                      <c:pt idx="5">
                        <c:v>175.8</c:v>
                      </c:pt>
                      <c:pt idx="6">
                        <c:v>182.53998999999999</c:v>
                      </c:pt>
                      <c:pt idx="7">
                        <c:v>203.14</c:v>
                      </c:pt>
                      <c:pt idx="8">
                        <c:v>211.52</c:v>
                      </c:pt>
                      <c:pt idx="9">
                        <c:v>225.50998999999999</c:v>
                      </c:pt>
                      <c:pt idx="10">
                        <c:v>213.49001000000001</c:v>
                      </c:pt>
                      <c:pt idx="11">
                        <c:v>204.28998999999999</c:v>
                      </c:pt>
                      <c:pt idx="12">
                        <c:v>214.50998999999999</c:v>
                      </c:pt>
                      <c:pt idx="13">
                        <c:v>222.53</c:v>
                      </c:pt>
                      <c:pt idx="14">
                        <c:v>235.05999800000001</c:v>
                      </c:pt>
                      <c:pt idx="15">
                        <c:v>235.89999</c:v>
                      </c:pt>
                      <c:pt idx="16">
                        <c:v>238.47</c:v>
                      </c:pt>
                      <c:pt idx="17">
                        <c:v>253.39999</c:v>
                      </c:pt>
                      <c:pt idx="18">
                        <c:v>251.23</c:v>
                      </c:pt>
                      <c:pt idx="19">
                        <c:v>269.60998999999998</c:v>
                      </c:pt>
                      <c:pt idx="20">
                        <c:v>286.35998999999998</c:v>
                      </c:pt>
                      <c:pt idx="21">
                        <c:v>302.87</c:v>
                      </c:pt>
                      <c:pt idx="22">
                        <c:v>282.12</c:v>
                      </c:pt>
                      <c:pt idx="23">
                        <c:v>331.35998999999998</c:v>
                      </c:pt>
                      <c:pt idx="24">
                        <c:v>335.13</c:v>
                      </c:pt>
                      <c:pt idx="25">
                        <c:v>335.35001</c:v>
                      </c:pt>
                      <c:pt idx="26">
                        <c:v>310.41000000000003</c:v>
                      </c:pt>
                      <c:pt idx="27">
                        <c:v>296.39999</c:v>
                      </c:pt>
                      <c:pt idx="28">
                        <c:v>309.37</c:v>
                      </c:pt>
                      <c:pt idx="29">
                        <c:v>277.70999</c:v>
                      </c:pt>
                      <c:pt idx="30">
                        <c:v>275.20001000000002</c:v>
                      </c:pt>
                      <c:pt idx="31">
                        <c:v>256.39001000000002</c:v>
                      </c:pt>
                      <c:pt idx="32">
                        <c:v>277.82001000000002</c:v>
                      </c:pt>
                      <c:pt idx="33">
                        <c:v>258.87</c:v>
                      </c:pt>
                      <c:pt idx="34">
                        <c:v>235.41</c:v>
                      </c:pt>
                      <c:pt idx="35">
                        <c:v>234.60001</c:v>
                      </c:pt>
                      <c:pt idx="36">
                        <c:v>253.87</c:v>
                      </c:pt>
                      <c:pt idx="37">
                        <c:v>243.08000200000001</c:v>
                      </c:pt>
                      <c:pt idx="38">
                        <c:v>248</c:v>
                      </c:pt>
                      <c:pt idx="39">
                        <c:v>250.75998999999999</c:v>
                      </c:pt>
                      <c:pt idx="40">
                        <c:v>286.51999000000001</c:v>
                      </c:pt>
                      <c:pt idx="41">
                        <c:v>306.97000000000003</c:v>
                      </c:pt>
                      <c:pt idx="42">
                        <c:v>325.92998999999998</c:v>
                      </c:pt>
                      <c:pt idx="43">
                        <c:v>339.19</c:v>
                      </c:pt>
                      <c:pt idx="44">
                        <c:v>335.19</c:v>
                      </c:pt>
                      <c:pt idx="45">
                        <c:v>331.31</c:v>
                      </c:pt>
                      <c:pt idx="46">
                        <c:v>316.27999999999997</c:v>
                      </c:pt>
                      <c:pt idx="47">
                        <c:v>339.79001</c:v>
                      </c:pt>
                      <c:pt idx="48">
                        <c:v>376.76001000000002</c:v>
                      </c:pt>
                      <c:pt idx="49">
                        <c:v>373.85998999999998</c:v>
                      </c:pt>
                      <c:pt idx="50">
                        <c:v>401.82999000000001</c:v>
                      </c:pt>
                      <c:pt idx="51">
                        <c:v>411.26999000000001</c:v>
                      </c:pt>
                      <c:pt idx="52">
                        <c:v>423.95001000000002</c:v>
                      </c:pt>
                      <c:pt idx="53">
                        <c:v>392.60998999999998</c:v>
                      </c:pt>
                      <c:pt idx="54">
                        <c:v>415.53</c:v>
                      </c:pt>
                      <c:pt idx="55">
                        <c:v>448.66</c:v>
                      </c:pt>
                      <c:pt idx="56">
                        <c:v>420.79001</c:v>
                      </c:pt>
                      <c:pt idx="57">
                        <c:v>417.91</c:v>
                      </c:pt>
                      <c:pt idx="58">
                        <c:v>428.45001000000002</c:v>
                      </c:pt>
                      <c:pt idx="59">
                        <c:v>409.01001000000002</c:v>
                      </c:pt>
                      <c:pt idx="60">
                        <c:v>421.57001000000002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24F-4073-8B1D-A28D4873F70C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MSFT_Monthly!$C$1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MSFT_Monthly!$C$2:$C$62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159.55000000000001</c:v>
                      </c:pt>
                      <c:pt idx="1">
                        <c:v>174.050003</c:v>
                      </c:pt>
                      <c:pt idx="2">
                        <c:v>190.7</c:v>
                      </c:pt>
                      <c:pt idx="3">
                        <c:v>175</c:v>
                      </c:pt>
                      <c:pt idx="4">
                        <c:v>180.39999</c:v>
                      </c:pt>
                      <c:pt idx="5">
                        <c:v>187.50998999999999</c:v>
                      </c:pt>
                      <c:pt idx="6">
                        <c:v>204.39999</c:v>
                      </c:pt>
                      <c:pt idx="7">
                        <c:v>216.38</c:v>
                      </c:pt>
                      <c:pt idx="8">
                        <c:v>231.14999</c:v>
                      </c:pt>
                      <c:pt idx="9">
                        <c:v>232.86</c:v>
                      </c:pt>
                      <c:pt idx="10">
                        <c:v>225.21001000000001</c:v>
                      </c:pt>
                      <c:pt idx="11">
                        <c:v>228.12</c:v>
                      </c:pt>
                      <c:pt idx="12">
                        <c:v>227.17999</c:v>
                      </c:pt>
                      <c:pt idx="13">
                        <c:v>242.64</c:v>
                      </c:pt>
                      <c:pt idx="14">
                        <c:v>246.13</c:v>
                      </c:pt>
                      <c:pt idx="15">
                        <c:v>241.050003</c:v>
                      </c:pt>
                      <c:pt idx="16">
                        <c:v>263.19</c:v>
                      </c:pt>
                      <c:pt idx="17">
                        <c:v>254.35001</c:v>
                      </c:pt>
                      <c:pt idx="18">
                        <c:v>271.64999</c:v>
                      </c:pt>
                      <c:pt idx="19">
                        <c:v>290.14999</c:v>
                      </c:pt>
                      <c:pt idx="20">
                        <c:v>305.83999999999997</c:v>
                      </c:pt>
                      <c:pt idx="21">
                        <c:v>305.32001000000002</c:v>
                      </c:pt>
                      <c:pt idx="22">
                        <c:v>332</c:v>
                      </c:pt>
                      <c:pt idx="23">
                        <c:v>349.67000999999999</c:v>
                      </c:pt>
                      <c:pt idx="24">
                        <c:v>344.29998999999998</c:v>
                      </c:pt>
                      <c:pt idx="25">
                        <c:v>338</c:v>
                      </c:pt>
                      <c:pt idx="26">
                        <c:v>315.12</c:v>
                      </c:pt>
                      <c:pt idx="27">
                        <c:v>315.95001000000002</c:v>
                      </c:pt>
                      <c:pt idx="28">
                        <c:v>315.10998999999998</c:v>
                      </c:pt>
                      <c:pt idx="29">
                        <c:v>290.88</c:v>
                      </c:pt>
                      <c:pt idx="30">
                        <c:v>277.69</c:v>
                      </c:pt>
                      <c:pt idx="31">
                        <c:v>282</c:v>
                      </c:pt>
                      <c:pt idx="32">
                        <c:v>294.17998999999998</c:v>
                      </c:pt>
                      <c:pt idx="33">
                        <c:v>267.45001000000002</c:v>
                      </c:pt>
                      <c:pt idx="34">
                        <c:v>251.03999300000001</c:v>
                      </c:pt>
                      <c:pt idx="35">
                        <c:v>255.33</c:v>
                      </c:pt>
                      <c:pt idx="36">
                        <c:v>263.92000999999999</c:v>
                      </c:pt>
                      <c:pt idx="37">
                        <c:v>249.83</c:v>
                      </c:pt>
                      <c:pt idx="38">
                        <c:v>276.76001000000002</c:v>
                      </c:pt>
                      <c:pt idx="39">
                        <c:v>289.26999000000001</c:v>
                      </c:pt>
                      <c:pt idx="40">
                        <c:v>308.92998999999998</c:v>
                      </c:pt>
                      <c:pt idx="41">
                        <c:v>335.94</c:v>
                      </c:pt>
                      <c:pt idx="42">
                        <c:v>351.47</c:v>
                      </c:pt>
                      <c:pt idx="43">
                        <c:v>366.78</c:v>
                      </c:pt>
                      <c:pt idx="44">
                        <c:v>338.54001</c:v>
                      </c:pt>
                      <c:pt idx="45">
                        <c:v>340.85998999999998</c:v>
                      </c:pt>
                      <c:pt idx="46">
                        <c:v>346.20001000000002</c:v>
                      </c:pt>
                      <c:pt idx="47">
                        <c:v>384.29998999999998</c:v>
                      </c:pt>
                      <c:pt idx="48">
                        <c:v>378.16</c:v>
                      </c:pt>
                      <c:pt idx="49">
                        <c:v>415.32001000000002</c:v>
                      </c:pt>
                      <c:pt idx="50">
                        <c:v>420.82001000000002</c:v>
                      </c:pt>
                      <c:pt idx="51">
                        <c:v>430.82001000000002</c:v>
                      </c:pt>
                      <c:pt idx="52">
                        <c:v>429.37</c:v>
                      </c:pt>
                      <c:pt idx="53">
                        <c:v>433.60001</c:v>
                      </c:pt>
                      <c:pt idx="54">
                        <c:v>456.17000999999999</c:v>
                      </c:pt>
                      <c:pt idx="55">
                        <c:v>468.35001</c:v>
                      </c:pt>
                      <c:pt idx="56">
                        <c:v>427.45999</c:v>
                      </c:pt>
                      <c:pt idx="57">
                        <c:v>441.85001</c:v>
                      </c:pt>
                      <c:pt idx="58">
                        <c:v>438.5</c:v>
                      </c:pt>
                      <c:pt idx="59">
                        <c:v>429.32999000000001</c:v>
                      </c:pt>
                      <c:pt idx="60">
                        <c:v>456.16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24F-4073-8B1D-A28D4873F70C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MSFT_Monthly!$D$1</c15:sqref>
                        </c15:formulaRef>
                      </c:ext>
                    </c:extLst>
                    <c:strCache>
                      <c:ptCount val="1"/>
                      <c:pt idx="0">
                        <c:v>low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MSFT_Monthly!$D$2:$D$62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146.64999</c:v>
                      </c:pt>
                      <c:pt idx="1">
                        <c:v>156.50998999999999</c:v>
                      </c:pt>
                      <c:pt idx="2">
                        <c:v>152</c:v>
                      </c:pt>
                      <c:pt idx="3">
                        <c:v>132.52000000000001</c:v>
                      </c:pt>
                      <c:pt idx="4">
                        <c:v>150.36000000000001</c:v>
                      </c:pt>
                      <c:pt idx="5">
                        <c:v>173.8</c:v>
                      </c:pt>
                      <c:pt idx="6">
                        <c:v>181.35001</c:v>
                      </c:pt>
                      <c:pt idx="7">
                        <c:v>197.50998999999999</c:v>
                      </c:pt>
                      <c:pt idx="8">
                        <c:v>203.14</c:v>
                      </c:pt>
                      <c:pt idx="9">
                        <c:v>196.25</c:v>
                      </c:pt>
                      <c:pt idx="10">
                        <c:v>199.62</c:v>
                      </c:pt>
                      <c:pt idx="11">
                        <c:v>200.12</c:v>
                      </c:pt>
                      <c:pt idx="12">
                        <c:v>209.11</c:v>
                      </c:pt>
                      <c:pt idx="13">
                        <c:v>211.94</c:v>
                      </c:pt>
                      <c:pt idx="14">
                        <c:v>227.88</c:v>
                      </c:pt>
                      <c:pt idx="15">
                        <c:v>224.25998999999999</c:v>
                      </c:pt>
                      <c:pt idx="16">
                        <c:v>238.050003</c:v>
                      </c:pt>
                      <c:pt idx="17">
                        <c:v>238.070007</c:v>
                      </c:pt>
                      <c:pt idx="18">
                        <c:v>243</c:v>
                      </c:pt>
                      <c:pt idx="19">
                        <c:v>269.60001</c:v>
                      </c:pt>
                      <c:pt idx="20">
                        <c:v>283.73998999999998</c:v>
                      </c:pt>
                      <c:pt idx="21">
                        <c:v>281.62</c:v>
                      </c:pt>
                      <c:pt idx="22">
                        <c:v>280.25</c:v>
                      </c:pt>
                      <c:pt idx="23">
                        <c:v>326.37</c:v>
                      </c:pt>
                      <c:pt idx="24">
                        <c:v>317.25</c:v>
                      </c:pt>
                      <c:pt idx="25">
                        <c:v>276.04998799999998</c:v>
                      </c:pt>
                      <c:pt idx="26">
                        <c:v>271.51999000000001</c:v>
                      </c:pt>
                      <c:pt idx="27">
                        <c:v>270</c:v>
                      </c:pt>
                      <c:pt idx="28">
                        <c:v>270</c:v>
                      </c:pt>
                      <c:pt idx="29">
                        <c:v>246.44</c:v>
                      </c:pt>
                      <c:pt idx="30">
                        <c:v>241.50998999999999</c:v>
                      </c:pt>
                      <c:pt idx="31">
                        <c:v>245.94</c:v>
                      </c:pt>
                      <c:pt idx="32">
                        <c:v>260.66000000000003</c:v>
                      </c:pt>
                      <c:pt idx="33">
                        <c:v>232.73</c:v>
                      </c:pt>
                      <c:pt idx="34">
                        <c:v>219.13</c:v>
                      </c:pt>
                      <c:pt idx="35">
                        <c:v>213.42999</c:v>
                      </c:pt>
                      <c:pt idx="36">
                        <c:v>233.87</c:v>
                      </c:pt>
                      <c:pt idx="37">
                        <c:v>219.35001</c:v>
                      </c:pt>
                      <c:pt idx="38">
                        <c:v>245.47</c:v>
                      </c:pt>
                      <c:pt idx="39">
                        <c:v>245.61</c:v>
                      </c:pt>
                      <c:pt idx="40">
                        <c:v>275.37</c:v>
                      </c:pt>
                      <c:pt idx="41">
                        <c:v>303.39999</c:v>
                      </c:pt>
                      <c:pt idx="42">
                        <c:v>322.5</c:v>
                      </c:pt>
                      <c:pt idx="43">
                        <c:v>327</c:v>
                      </c:pt>
                      <c:pt idx="44">
                        <c:v>311.54998999999998</c:v>
                      </c:pt>
                      <c:pt idx="45">
                        <c:v>309.45001000000002</c:v>
                      </c:pt>
                      <c:pt idx="46">
                        <c:v>311.20999</c:v>
                      </c:pt>
                      <c:pt idx="47">
                        <c:v>339.64999</c:v>
                      </c:pt>
                      <c:pt idx="48">
                        <c:v>362.89999</c:v>
                      </c:pt>
                      <c:pt idx="49">
                        <c:v>366.5</c:v>
                      </c:pt>
                      <c:pt idx="50">
                        <c:v>397.22</c:v>
                      </c:pt>
                      <c:pt idx="51">
                        <c:v>398.39001000000002</c:v>
                      </c:pt>
                      <c:pt idx="52">
                        <c:v>388.02999899999998</c:v>
                      </c:pt>
                      <c:pt idx="53">
                        <c:v>390.31</c:v>
                      </c:pt>
                      <c:pt idx="54">
                        <c:v>408.92000999999999</c:v>
                      </c:pt>
                      <c:pt idx="55">
                        <c:v>412.20999</c:v>
                      </c:pt>
                      <c:pt idx="56">
                        <c:v>385.57999000000001</c:v>
                      </c:pt>
                      <c:pt idx="57">
                        <c:v>400.79998999999998</c:v>
                      </c:pt>
                      <c:pt idx="58">
                        <c:v>406.29998999999998</c:v>
                      </c:pt>
                      <c:pt idx="59">
                        <c:v>405.57001000000002</c:v>
                      </c:pt>
                      <c:pt idx="60">
                        <c:v>420.66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4F-4073-8B1D-A28D4873F70C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MSFT_Monthly!$E$1</c15:sqref>
                        </c15:formulaRef>
                      </c:ext>
                    </c:extLst>
                    <c:strCache>
                      <c:ptCount val="1"/>
                      <c:pt idx="0">
                        <c:v>close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MSFT_Monthly!$E$2:$E$62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157.69999999999999</c:v>
                      </c:pt>
                      <c:pt idx="1">
                        <c:v>170.23</c:v>
                      </c:pt>
                      <c:pt idx="2">
                        <c:v>162.0099945</c:v>
                      </c:pt>
                      <c:pt idx="3">
                        <c:v>157.71001000000001</c:v>
                      </c:pt>
                      <c:pt idx="4">
                        <c:v>179.21001000000001</c:v>
                      </c:pt>
                      <c:pt idx="5">
                        <c:v>183.25</c:v>
                      </c:pt>
                      <c:pt idx="6">
                        <c:v>203.50998999999999</c:v>
                      </c:pt>
                      <c:pt idx="7">
                        <c:v>205.0099945</c:v>
                      </c:pt>
                      <c:pt idx="8">
                        <c:v>225.53</c:v>
                      </c:pt>
                      <c:pt idx="9">
                        <c:v>210.33</c:v>
                      </c:pt>
                      <c:pt idx="10">
                        <c:v>202.47</c:v>
                      </c:pt>
                      <c:pt idx="11">
                        <c:v>214.070007</c:v>
                      </c:pt>
                      <c:pt idx="12">
                        <c:v>222.42</c:v>
                      </c:pt>
                      <c:pt idx="13">
                        <c:v>231.96001000000001</c:v>
                      </c:pt>
                      <c:pt idx="14">
                        <c:v>232.38</c:v>
                      </c:pt>
                      <c:pt idx="15">
                        <c:v>235.77</c:v>
                      </c:pt>
                      <c:pt idx="16">
                        <c:v>252.17999</c:v>
                      </c:pt>
                      <c:pt idx="17">
                        <c:v>249.67999</c:v>
                      </c:pt>
                      <c:pt idx="18">
                        <c:v>270.89999</c:v>
                      </c:pt>
                      <c:pt idx="19">
                        <c:v>284.91000000000003</c:v>
                      </c:pt>
                      <c:pt idx="20">
                        <c:v>301.88</c:v>
                      </c:pt>
                      <c:pt idx="21">
                        <c:v>281.92000999999999</c:v>
                      </c:pt>
                      <c:pt idx="22">
                        <c:v>331.62</c:v>
                      </c:pt>
                      <c:pt idx="23">
                        <c:v>330.59</c:v>
                      </c:pt>
                      <c:pt idx="24">
                        <c:v>336.32001000000002</c:v>
                      </c:pt>
                      <c:pt idx="25">
                        <c:v>310.98000999999999</c:v>
                      </c:pt>
                      <c:pt idx="26">
                        <c:v>298.79001</c:v>
                      </c:pt>
                      <c:pt idx="27">
                        <c:v>308.31</c:v>
                      </c:pt>
                      <c:pt idx="28">
                        <c:v>277.51999000000001</c:v>
                      </c:pt>
                      <c:pt idx="29">
                        <c:v>271.87</c:v>
                      </c:pt>
                      <c:pt idx="30">
                        <c:v>256.82999000000001</c:v>
                      </c:pt>
                      <c:pt idx="31">
                        <c:v>280.73998999999998</c:v>
                      </c:pt>
                      <c:pt idx="32">
                        <c:v>261.47000000000003</c:v>
                      </c:pt>
                      <c:pt idx="33">
                        <c:v>232.89999</c:v>
                      </c:pt>
                      <c:pt idx="34">
                        <c:v>232.13</c:v>
                      </c:pt>
                      <c:pt idx="35">
                        <c:v>255.14</c:v>
                      </c:pt>
                      <c:pt idx="36">
                        <c:v>239.82001</c:v>
                      </c:pt>
                      <c:pt idx="37">
                        <c:v>247.81</c:v>
                      </c:pt>
                      <c:pt idx="38">
                        <c:v>249.42</c:v>
                      </c:pt>
                      <c:pt idx="39">
                        <c:v>288.29998999999998</c:v>
                      </c:pt>
                      <c:pt idx="40">
                        <c:v>307.26001000000002</c:v>
                      </c:pt>
                      <c:pt idx="41">
                        <c:v>328.39001000000002</c:v>
                      </c:pt>
                      <c:pt idx="42">
                        <c:v>340.54001</c:v>
                      </c:pt>
                      <c:pt idx="43">
                        <c:v>335.92000999999999</c:v>
                      </c:pt>
                      <c:pt idx="44">
                        <c:v>327.76001000000002</c:v>
                      </c:pt>
                      <c:pt idx="45">
                        <c:v>315.75</c:v>
                      </c:pt>
                      <c:pt idx="46">
                        <c:v>338.10998999999998</c:v>
                      </c:pt>
                      <c:pt idx="47">
                        <c:v>378.91</c:v>
                      </c:pt>
                      <c:pt idx="48">
                        <c:v>376.040009</c:v>
                      </c:pt>
                      <c:pt idx="49">
                        <c:v>397.57999000000001</c:v>
                      </c:pt>
                      <c:pt idx="50">
                        <c:v>413.64001000000002</c:v>
                      </c:pt>
                      <c:pt idx="51">
                        <c:v>420.72</c:v>
                      </c:pt>
                      <c:pt idx="52">
                        <c:v>389.32999000000001</c:v>
                      </c:pt>
                      <c:pt idx="53">
                        <c:v>415.13</c:v>
                      </c:pt>
                      <c:pt idx="54">
                        <c:v>446.95001000000002</c:v>
                      </c:pt>
                      <c:pt idx="55">
                        <c:v>418.35001</c:v>
                      </c:pt>
                      <c:pt idx="56">
                        <c:v>417.14001000000002</c:v>
                      </c:pt>
                      <c:pt idx="57">
                        <c:v>430.29998999999998</c:v>
                      </c:pt>
                      <c:pt idx="58">
                        <c:v>406.35001</c:v>
                      </c:pt>
                      <c:pt idx="59">
                        <c:v>423.45999</c:v>
                      </c:pt>
                      <c:pt idx="60">
                        <c:v>421.5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4F-4073-8B1D-A28D4873F70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MSFT_Monthly!$F$1</c15:sqref>
                        </c15:formulaRef>
                      </c:ext>
                    </c:extLst>
                    <c:strCache>
                      <c:ptCount val="1"/>
                      <c:pt idx="0">
                        <c:v>volume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MSFT_Monthly!$F$2:$F$62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450303300</c:v>
                      </c:pt>
                      <c:pt idx="1">
                        <c:v>558530000</c:v>
                      </c:pt>
                      <c:pt idx="2">
                        <c:v>887522300</c:v>
                      </c:pt>
                      <c:pt idx="3">
                        <c:v>1612695500</c:v>
                      </c:pt>
                      <c:pt idx="4">
                        <c:v>984705000</c:v>
                      </c:pt>
                      <c:pt idx="5">
                        <c:v>688845000</c:v>
                      </c:pt>
                      <c:pt idx="6">
                        <c:v>764965400</c:v>
                      </c:pt>
                      <c:pt idx="7">
                        <c:v>770190800</c:v>
                      </c:pt>
                      <c:pt idx="8">
                        <c:v>692423900</c:v>
                      </c:pt>
                      <c:pt idx="9">
                        <c:v>768176300</c:v>
                      </c:pt>
                      <c:pt idx="10">
                        <c:v>631618000</c:v>
                      </c:pt>
                      <c:pt idx="11">
                        <c:v>573443000</c:v>
                      </c:pt>
                      <c:pt idx="12">
                        <c:v>594761700</c:v>
                      </c:pt>
                      <c:pt idx="13">
                        <c:v>648076400</c:v>
                      </c:pt>
                      <c:pt idx="14">
                        <c:v>490962200</c:v>
                      </c:pt>
                      <c:pt idx="15">
                        <c:v>724945800</c:v>
                      </c:pt>
                      <c:pt idx="16">
                        <c:v>568661600</c:v>
                      </c:pt>
                      <c:pt idx="17">
                        <c:v>495084900</c:v>
                      </c:pt>
                      <c:pt idx="18">
                        <c:v>508572200</c:v>
                      </c:pt>
                      <c:pt idx="19">
                        <c:v>522672700</c:v>
                      </c:pt>
                      <c:pt idx="20">
                        <c:v>441308900</c:v>
                      </c:pt>
                      <c:pt idx="21">
                        <c:v>502918700</c:v>
                      </c:pt>
                      <c:pt idx="22">
                        <c:v>516515800</c:v>
                      </c:pt>
                      <c:pt idx="23">
                        <c:v>509885200</c:v>
                      </c:pt>
                      <c:pt idx="24">
                        <c:v>625674800</c:v>
                      </c:pt>
                      <c:pt idx="25">
                        <c:v>947531400</c:v>
                      </c:pt>
                      <c:pt idx="26">
                        <c:v>697050600</c:v>
                      </c:pt>
                      <c:pt idx="27">
                        <c:v>734334200</c:v>
                      </c:pt>
                      <c:pt idx="28">
                        <c:v>627343400</c:v>
                      </c:pt>
                      <c:pt idx="29">
                        <c:v>742902000</c:v>
                      </c:pt>
                      <c:pt idx="30">
                        <c:v>621372300</c:v>
                      </c:pt>
                      <c:pt idx="31">
                        <c:v>534891800</c:v>
                      </c:pt>
                      <c:pt idx="32">
                        <c:v>477157600</c:v>
                      </c:pt>
                      <c:pt idx="33">
                        <c:v>575586600</c:v>
                      </c:pt>
                      <c:pt idx="34">
                        <c:v>671225100</c:v>
                      </c:pt>
                      <c:pt idx="35">
                        <c:v>615296000</c:v>
                      </c:pt>
                      <c:pt idx="36">
                        <c:v>591358700</c:v>
                      </c:pt>
                      <c:pt idx="37">
                        <c:v>666168100</c:v>
                      </c:pt>
                      <c:pt idx="38">
                        <c:v>615501000</c:v>
                      </c:pt>
                      <c:pt idx="39">
                        <c:v>747635000</c:v>
                      </c:pt>
                      <c:pt idx="40">
                        <c:v>551497100</c:v>
                      </c:pt>
                      <c:pt idx="41">
                        <c:v>600807200</c:v>
                      </c:pt>
                      <c:pt idx="42">
                        <c:v>547588700</c:v>
                      </c:pt>
                      <c:pt idx="43">
                        <c:v>666764400</c:v>
                      </c:pt>
                      <c:pt idx="44">
                        <c:v>479456700</c:v>
                      </c:pt>
                      <c:pt idx="45">
                        <c:v>416680700</c:v>
                      </c:pt>
                      <c:pt idx="46">
                        <c:v>540907000</c:v>
                      </c:pt>
                      <c:pt idx="47">
                        <c:v>563880300</c:v>
                      </c:pt>
                      <c:pt idx="48">
                        <c:v>522003700</c:v>
                      </c:pt>
                      <c:pt idx="49">
                        <c:v>528399000</c:v>
                      </c:pt>
                      <c:pt idx="50">
                        <c:v>444176300</c:v>
                      </c:pt>
                      <c:pt idx="51">
                        <c:v>426349600</c:v>
                      </c:pt>
                      <c:pt idx="52">
                        <c:v>440777700</c:v>
                      </c:pt>
                      <c:pt idx="53">
                        <c:v>413800800</c:v>
                      </c:pt>
                      <c:pt idx="54">
                        <c:v>342370400</c:v>
                      </c:pt>
                      <c:pt idx="55">
                        <c:v>440449200</c:v>
                      </c:pt>
                      <c:pt idx="56">
                        <c:v>451919000</c:v>
                      </c:pt>
                      <c:pt idx="57">
                        <c:v>376921200</c:v>
                      </c:pt>
                      <c:pt idx="58">
                        <c:v>440745500</c:v>
                      </c:pt>
                      <c:pt idx="59">
                        <c:v>442321200</c:v>
                      </c:pt>
                      <c:pt idx="60">
                        <c:v>439902400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4F-4073-8B1D-A28D4873F70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MSFT_Monthly!$G$1</c15:sqref>
                        </c15:formulaRef>
                      </c:ext>
                    </c:extLst>
                    <c:strCache>
                      <c:ptCount val="1"/>
                      <c:pt idx="0">
                        <c:v>Return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MSFT_Monthly!$G$2:$G$62</c15:sqref>
                        </c15:formulaRef>
                      </c:ext>
                    </c:extLst>
                    <c:numCache>
                      <c:formatCode>0.00%</c:formatCode>
                      <c:ptCount val="61"/>
                      <c:pt idx="1">
                        <c:v>7.9454660748256245E-2</c:v>
                      </c:pt>
                      <c:pt idx="2">
                        <c:v>-4.8287643188627105E-2</c:v>
                      </c:pt>
                      <c:pt idx="3">
                        <c:v>-2.6541476735868819E-2</c:v>
                      </c:pt>
                      <c:pt idx="4">
                        <c:v>0.13632615963945471</c:v>
                      </c:pt>
                      <c:pt idx="5">
                        <c:v>2.2543327797370116E-2</c:v>
                      </c:pt>
                      <c:pt idx="6">
                        <c:v>0.11055929058663017</c:v>
                      </c:pt>
                      <c:pt idx="7">
                        <c:v>7.3706676512539371E-3</c:v>
                      </c:pt>
                      <c:pt idx="8">
                        <c:v>0.10009270791917424</c:v>
                      </c:pt>
                      <c:pt idx="9">
                        <c:v>-6.7396798652063938E-2</c:v>
                      </c:pt>
                      <c:pt idx="10">
                        <c:v>-3.7369847382684451E-2</c:v>
                      </c:pt>
                      <c:pt idx="11">
                        <c:v>5.7292472958957008E-2</c:v>
                      </c:pt>
                      <c:pt idx="12">
                        <c:v>3.9005898663795557E-2</c:v>
                      </c:pt>
                      <c:pt idx="13">
                        <c:v>4.2891871234601364E-2</c:v>
                      </c:pt>
                      <c:pt idx="14">
                        <c:v>1.8106138208908718E-3</c:v>
                      </c:pt>
                      <c:pt idx="15">
                        <c:v>1.4588174541698917E-2</c:v>
                      </c:pt>
                      <c:pt idx="16">
                        <c:v>6.9601688085846325E-2</c:v>
                      </c:pt>
                      <c:pt idx="17">
                        <c:v>-9.9135542038842894E-3</c:v>
                      </c:pt>
                      <c:pt idx="18">
                        <c:v>8.4988789049534885E-2</c:v>
                      </c:pt>
                      <c:pt idx="19">
                        <c:v>5.1716539376764237E-2</c:v>
                      </c:pt>
                      <c:pt idx="20">
                        <c:v>5.9562668912990002E-2</c:v>
                      </c:pt>
                      <c:pt idx="21">
                        <c:v>-6.6118954551477427E-2</c:v>
                      </c:pt>
                      <c:pt idx="22">
                        <c:v>0.17629110470023046</c:v>
                      </c:pt>
                      <c:pt idx="23">
                        <c:v>-3.105964658344007E-3</c:v>
                      </c:pt>
                      <c:pt idx="24">
                        <c:v>1.7332677939441821E-2</c:v>
                      </c:pt>
                      <c:pt idx="25">
                        <c:v>-7.5344907369621072E-2</c:v>
                      </c:pt>
                      <c:pt idx="26">
                        <c:v>-3.9198661032906923E-2</c:v>
                      </c:pt>
                      <c:pt idx="27">
                        <c:v>3.18618082311386E-2</c:v>
                      </c:pt>
                      <c:pt idx="28">
                        <c:v>-9.9867049398332797E-2</c:v>
                      </c:pt>
                      <c:pt idx="29">
                        <c:v>-2.0358857752913573E-2</c:v>
                      </c:pt>
                      <c:pt idx="30">
                        <c:v>-5.532059440173609E-2</c:v>
                      </c:pt>
                      <c:pt idx="31">
                        <c:v>9.3096604489218526E-2</c:v>
                      </c:pt>
                      <c:pt idx="32">
                        <c:v>-6.8639989621713471E-2</c:v>
                      </c:pt>
                      <c:pt idx="33">
                        <c:v>-0.10926687574100291</c:v>
                      </c:pt>
                      <c:pt idx="34">
                        <c:v>-3.3060971793086313E-3</c:v>
                      </c:pt>
                      <c:pt idx="35">
                        <c:v>9.9125490027139884E-2</c:v>
                      </c:pt>
                      <c:pt idx="36">
                        <c:v>-6.0045426040605143E-2</c:v>
                      </c:pt>
                      <c:pt idx="37">
                        <c:v>3.3316611070110413E-2</c:v>
                      </c:pt>
                      <c:pt idx="38">
                        <c:v>6.4969129575076501E-3</c:v>
                      </c:pt>
                      <c:pt idx="39">
                        <c:v>0.15588160532435258</c:v>
                      </c:pt>
                      <c:pt idx="40">
                        <c:v>6.5764899957159395E-2</c:v>
                      </c:pt>
                      <c:pt idx="41">
                        <c:v>6.876911837632238E-2</c:v>
                      </c:pt>
                      <c:pt idx="42">
                        <c:v>3.6998689454651679E-2</c:v>
                      </c:pt>
                      <c:pt idx="43">
                        <c:v>-1.3566687802704869E-2</c:v>
                      </c:pt>
                      <c:pt idx="44">
                        <c:v>-2.4291497252574956E-2</c:v>
                      </c:pt>
                      <c:pt idx="45">
                        <c:v>-3.664269475705717E-2</c:v>
                      </c:pt>
                      <c:pt idx="46">
                        <c:v>7.0815486935867034E-2</c:v>
                      </c:pt>
                      <c:pt idx="47">
                        <c:v>0.12067082075865332</c:v>
                      </c:pt>
                      <c:pt idx="48">
                        <c:v>-7.5743342746299458E-3</c:v>
                      </c:pt>
                      <c:pt idx="49">
                        <c:v>5.7281088406739178E-2</c:v>
                      </c:pt>
                      <c:pt idx="50">
                        <c:v>4.039443735586401E-2</c:v>
                      </c:pt>
                      <c:pt idx="51">
                        <c:v>1.7116308453817064E-2</c:v>
                      </c:pt>
                      <c:pt idx="52">
                        <c:v>-7.4610215820498205E-2</c:v>
                      </c:pt>
                      <c:pt idx="53">
                        <c:v>6.6267718035284195E-2</c:v>
                      </c:pt>
                      <c:pt idx="54">
                        <c:v>7.6650711825211548E-2</c:v>
                      </c:pt>
                      <c:pt idx="55">
                        <c:v>-6.398925911199782E-2</c:v>
                      </c:pt>
                      <c:pt idx="56">
                        <c:v>-2.8923149780729629E-3</c:v>
                      </c:pt>
                      <c:pt idx="57">
                        <c:v>3.1548112586946342E-2</c:v>
                      </c:pt>
                      <c:pt idx="58">
                        <c:v>-5.5658797482193711E-2</c:v>
                      </c:pt>
                      <c:pt idx="59">
                        <c:v>4.2106508130761444E-2</c:v>
                      </c:pt>
                      <c:pt idx="60">
                        <c:v>-4.62851283777721E-3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4F-4073-8B1D-A28D4873F70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MSFT_Monthly!$H$1</c15:sqref>
                        </c15:formulaRef>
                      </c:ext>
                    </c:extLst>
                    <c:strCache>
                      <c:ptCount val="1"/>
                      <c:pt idx="0">
                        <c:v>Rebase to 100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MSFT_Monthly!$H$2:$H$62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</c:v>
                      </c:pt>
                      <c:pt idx="1">
                        <c:v>107.94546607482562</c:v>
                      </c:pt>
                      <c:pt idx="2">
                        <c:v>102.73303392517438</c:v>
                      </c:pt>
                      <c:pt idx="3">
                        <c:v>100.00634749524414</c:v>
                      </c:pt>
                      <c:pt idx="4">
                        <c:v>113.63982878883958</c:v>
                      </c:pt>
                      <c:pt idx="5">
                        <c:v>116.2016487000634</c:v>
                      </c:pt>
                      <c:pt idx="6">
                        <c:v>129.04882054533923</c:v>
                      </c:pt>
                      <c:pt idx="7">
                        <c:v>129.99999651236524</c:v>
                      </c:pt>
                      <c:pt idx="8">
                        <c:v>143.01204819277109</c:v>
                      </c:pt>
                      <c:pt idx="9">
                        <c:v>133.37349397590364</c:v>
                      </c:pt>
                      <c:pt idx="10">
                        <c:v>128.38934686112873</c:v>
                      </c:pt>
                      <c:pt idx="11">
                        <c:v>135.74509004438809</c:v>
                      </c:pt>
                      <c:pt idx="12">
                        <c:v>141.03994927076729</c:v>
                      </c:pt>
                      <c:pt idx="13">
                        <c:v>147.08941661382374</c:v>
                      </c:pt>
                      <c:pt idx="14">
                        <c:v>147.35573874445151</c:v>
                      </c:pt>
                      <c:pt idx="15">
                        <c:v>149.50538998097656</c:v>
                      </c:pt>
                      <c:pt idx="16">
                        <c:v>159.9112175015853</c:v>
                      </c:pt>
                      <c:pt idx="17">
                        <c:v>158.32592897907421</c:v>
                      </c:pt>
                      <c:pt idx="18">
                        <c:v>171.78185795814838</c:v>
                      </c:pt>
                      <c:pt idx="19">
                        <c:v>180.66582117945467</c:v>
                      </c:pt>
                      <c:pt idx="20">
                        <c:v>191.42675967025997</c:v>
                      </c:pt>
                      <c:pt idx="21">
                        <c:v>178.76982244768547</c:v>
                      </c:pt>
                      <c:pt idx="22">
                        <c:v>210.28535193405199</c:v>
                      </c:pt>
                      <c:pt idx="23">
                        <c:v>209.6322130627774</c:v>
                      </c:pt>
                      <c:pt idx="24">
                        <c:v>213.26570069752697</c:v>
                      </c:pt>
                      <c:pt idx="25">
                        <c:v>197.19721623335445</c:v>
                      </c:pt>
                      <c:pt idx="26">
                        <c:v>189.46734939759034</c:v>
                      </c:pt>
                      <c:pt idx="27">
                        <c:v>195.5041217501585</c:v>
                      </c:pt>
                      <c:pt idx="28">
                        <c:v>175.97970196575776</c:v>
                      </c:pt>
                      <c:pt idx="29">
                        <c:v>172.39695624603678</c:v>
                      </c:pt>
                      <c:pt idx="30">
                        <c:v>162.85985415345593</c:v>
                      </c:pt>
                      <c:pt idx="31">
                        <c:v>178.02155358275203</c:v>
                      </c:pt>
                      <c:pt idx="32">
                        <c:v>165.80215599239062</c:v>
                      </c:pt>
                      <c:pt idx="33">
                        <c:v>147.68547241597969</c:v>
                      </c:pt>
                      <c:pt idx="34">
                        <c:v>147.19720989220036</c:v>
                      </c:pt>
                      <c:pt idx="35">
                        <c:v>161.78820545339249</c:v>
                      </c:pt>
                      <c:pt idx="36">
                        <c:v>152.07356372859857</c:v>
                      </c:pt>
                      <c:pt idx="37">
                        <c:v>157.14013950538995</c:v>
                      </c:pt>
                      <c:pt idx="38">
                        <c:v>158.16106531388709</c:v>
                      </c:pt>
                      <c:pt idx="39">
                        <c:v>182.81546607482559</c:v>
                      </c:pt>
                      <c:pt idx="40">
                        <c:v>194.83830691185796</c:v>
                      </c:pt>
                      <c:pt idx="41">
                        <c:v>208.23716550412175</c:v>
                      </c:pt>
                      <c:pt idx="42">
                        <c:v>215.94166772352565</c:v>
                      </c:pt>
                      <c:pt idx="43">
                        <c:v>213.01205453392515</c:v>
                      </c:pt>
                      <c:pt idx="44">
                        <c:v>207.83767279644897</c:v>
                      </c:pt>
                      <c:pt idx="45">
                        <c:v>200.22194039315156</c:v>
                      </c:pt>
                      <c:pt idx="46">
                        <c:v>214.40075459733671</c:v>
                      </c:pt>
                      <c:pt idx="47">
                        <c:v>240.27266962587194</c:v>
                      </c:pt>
                      <c:pt idx="48">
                        <c:v>238.45276410906786</c:v>
                      </c:pt>
                      <c:pt idx="49">
                        <c:v>252.1115979708307</c:v>
                      </c:pt>
                      <c:pt idx="50">
                        <c:v>262.29550412175018</c:v>
                      </c:pt>
                      <c:pt idx="51">
                        <c:v>266.78503487634748</c:v>
                      </c:pt>
                      <c:pt idx="52">
                        <c:v>246.88014584654405</c:v>
                      </c:pt>
                      <c:pt idx="53">
                        <c:v>263.24032974001267</c:v>
                      </c:pt>
                      <c:pt idx="54">
                        <c:v>283.41788839568807</c:v>
                      </c:pt>
                      <c:pt idx="55">
                        <c:v>265.28218769816112</c:v>
                      </c:pt>
                      <c:pt idx="56">
                        <c:v>264.51490805326574</c:v>
                      </c:pt>
                      <c:pt idx="57">
                        <c:v>272.85985415345596</c:v>
                      </c:pt>
                      <c:pt idx="58">
                        <c:v>257.67280279010782</c:v>
                      </c:pt>
                      <c:pt idx="59">
                        <c:v>268.52250475586561</c:v>
                      </c:pt>
                      <c:pt idx="60">
                        <c:v>267.27964489537101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4F-4073-8B1D-A28D4873F70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MSFT_Monthly!$I$1</c15:sqref>
                        </c15:formulaRef>
                      </c:ext>
                    </c:extLst>
                    <c:strCache>
                      <c:ptCount val="1"/>
                      <c:pt idx="0">
                        <c:v>Peak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MSFT_Monthly!$I$2:$I$62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</c:v>
                      </c:pt>
                      <c:pt idx="1">
                        <c:v>107.94546607482562</c:v>
                      </c:pt>
                      <c:pt idx="2">
                        <c:v>107.94546607482562</c:v>
                      </c:pt>
                      <c:pt idx="3">
                        <c:v>107.94546607482562</c:v>
                      </c:pt>
                      <c:pt idx="4">
                        <c:v>113.63982878883958</c:v>
                      </c:pt>
                      <c:pt idx="5">
                        <c:v>116.2016487000634</c:v>
                      </c:pt>
                      <c:pt idx="6">
                        <c:v>129.04882054533923</c:v>
                      </c:pt>
                      <c:pt idx="7">
                        <c:v>129.99999651236524</c:v>
                      </c:pt>
                      <c:pt idx="8">
                        <c:v>143.01204819277109</c:v>
                      </c:pt>
                      <c:pt idx="9">
                        <c:v>143.01204819277109</c:v>
                      </c:pt>
                      <c:pt idx="10">
                        <c:v>143.01204819277109</c:v>
                      </c:pt>
                      <c:pt idx="11">
                        <c:v>143.01204819277109</c:v>
                      </c:pt>
                      <c:pt idx="12">
                        <c:v>143.01204819277109</c:v>
                      </c:pt>
                      <c:pt idx="13">
                        <c:v>147.08941661382374</c:v>
                      </c:pt>
                      <c:pt idx="14">
                        <c:v>147.35573874445151</c:v>
                      </c:pt>
                      <c:pt idx="15">
                        <c:v>149.50538998097656</c:v>
                      </c:pt>
                      <c:pt idx="16">
                        <c:v>159.9112175015853</c:v>
                      </c:pt>
                      <c:pt idx="17">
                        <c:v>159.9112175015853</c:v>
                      </c:pt>
                      <c:pt idx="18">
                        <c:v>171.78185795814838</c:v>
                      </c:pt>
                      <c:pt idx="19">
                        <c:v>180.66582117945467</c:v>
                      </c:pt>
                      <c:pt idx="20">
                        <c:v>191.42675967025997</c:v>
                      </c:pt>
                      <c:pt idx="21">
                        <c:v>191.42675967025997</c:v>
                      </c:pt>
                      <c:pt idx="22">
                        <c:v>210.28535193405199</c:v>
                      </c:pt>
                      <c:pt idx="23">
                        <c:v>210.28535193405199</c:v>
                      </c:pt>
                      <c:pt idx="24">
                        <c:v>213.26570069752697</c:v>
                      </c:pt>
                      <c:pt idx="25">
                        <c:v>213.26570069752697</c:v>
                      </c:pt>
                      <c:pt idx="26">
                        <c:v>213.26570069752697</c:v>
                      </c:pt>
                      <c:pt idx="27">
                        <c:v>213.26570069752697</c:v>
                      </c:pt>
                      <c:pt idx="28">
                        <c:v>213.26570069752697</c:v>
                      </c:pt>
                      <c:pt idx="29">
                        <c:v>213.26570069752697</c:v>
                      </c:pt>
                      <c:pt idx="30">
                        <c:v>213.26570069752697</c:v>
                      </c:pt>
                      <c:pt idx="31">
                        <c:v>213.26570069752697</c:v>
                      </c:pt>
                      <c:pt idx="32">
                        <c:v>213.26570069752697</c:v>
                      </c:pt>
                      <c:pt idx="33">
                        <c:v>213.26570069752697</c:v>
                      </c:pt>
                      <c:pt idx="34">
                        <c:v>213.26570069752697</c:v>
                      </c:pt>
                      <c:pt idx="35">
                        <c:v>213.26570069752697</c:v>
                      </c:pt>
                      <c:pt idx="36">
                        <c:v>213.26570069752697</c:v>
                      </c:pt>
                      <c:pt idx="37">
                        <c:v>213.26570069752697</c:v>
                      </c:pt>
                      <c:pt idx="38">
                        <c:v>213.26570069752697</c:v>
                      </c:pt>
                      <c:pt idx="39">
                        <c:v>213.26570069752697</c:v>
                      </c:pt>
                      <c:pt idx="40">
                        <c:v>213.26570069752697</c:v>
                      </c:pt>
                      <c:pt idx="41">
                        <c:v>213.26570069752697</c:v>
                      </c:pt>
                      <c:pt idx="42">
                        <c:v>215.94166772352565</c:v>
                      </c:pt>
                      <c:pt idx="43">
                        <c:v>215.94166772352565</c:v>
                      </c:pt>
                      <c:pt idx="44">
                        <c:v>215.94166772352565</c:v>
                      </c:pt>
                      <c:pt idx="45">
                        <c:v>215.94166772352565</c:v>
                      </c:pt>
                      <c:pt idx="46">
                        <c:v>215.94166772352565</c:v>
                      </c:pt>
                      <c:pt idx="47">
                        <c:v>240.27266962587194</c:v>
                      </c:pt>
                      <c:pt idx="48">
                        <c:v>240.27266962587194</c:v>
                      </c:pt>
                      <c:pt idx="49">
                        <c:v>252.1115979708307</c:v>
                      </c:pt>
                      <c:pt idx="50">
                        <c:v>262.29550412175018</c:v>
                      </c:pt>
                      <c:pt idx="51">
                        <c:v>266.78503487634748</c:v>
                      </c:pt>
                      <c:pt idx="52">
                        <c:v>266.78503487634748</c:v>
                      </c:pt>
                      <c:pt idx="53">
                        <c:v>266.78503487634748</c:v>
                      </c:pt>
                      <c:pt idx="54">
                        <c:v>283.41788839568807</c:v>
                      </c:pt>
                      <c:pt idx="55">
                        <c:v>283.41788839568807</c:v>
                      </c:pt>
                      <c:pt idx="56">
                        <c:v>283.41788839568807</c:v>
                      </c:pt>
                      <c:pt idx="57">
                        <c:v>283.41788839568807</c:v>
                      </c:pt>
                      <c:pt idx="58">
                        <c:v>283.41788839568807</c:v>
                      </c:pt>
                      <c:pt idx="59">
                        <c:v>283.41788839568807</c:v>
                      </c:pt>
                      <c:pt idx="60">
                        <c:v>283.41788839568807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4F-4073-8B1D-A28D4873F70C}"/>
                  </c:ext>
                </c:extLst>
              </c15:ser>
            </c15:filteredAreaSeries>
          </c:ext>
        </c:extLst>
      </c:areaChart>
      <c:dateAx>
        <c:axId val="1194874415"/>
        <c:scaling>
          <c:orientation val="minMax"/>
          <c:max val="45657"/>
          <c:min val="43830"/>
        </c:scaling>
        <c:delete val="0"/>
        <c:axPos val="b"/>
        <c:numFmt formatCode="mmm/yyyy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76335"/>
        <c:crosses val="autoZero"/>
        <c:auto val="1"/>
        <c:lblOffset val="100"/>
        <c:baseTimeUnit val="months"/>
      </c:dateAx>
      <c:valAx>
        <c:axId val="11948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Drawdown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74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8</xdr:row>
      <xdr:rowOff>47625</xdr:rowOff>
    </xdr:from>
    <xdr:to>
      <xdr:col>15</xdr:col>
      <xdr:colOff>327025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22B5D-91FA-0465-3D9C-DD810E056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9A02-4E2F-4907-BE5F-B0CF029DE91C}">
  <dimension ref="A1:N62"/>
  <sheetViews>
    <sheetView tabSelected="1" topLeftCell="A91" workbookViewId="0">
      <selection sqref="A1:J62"/>
    </sheetView>
  </sheetViews>
  <sheetFormatPr defaultRowHeight="14.4" x14ac:dyDescent="0.3"/>
  <cols>
    <col min="1" max="1" width="10.109375" bestFit="1" customWidth="1"/>
    <col min="2" max="4" width="8.77734375" bestFit="1" customWidth="1"/>
    <col min="5" max="5" width="6.77734375" bestFit="1" customWidth="1"/>
    <col min="6" max="6" width="10.77734375" bestFit="1" customWidth="1"/>
    <col min="7" max="7" width="7.5546875" bestFit="1" customWidth="1"/>
    <col min="8" max="8" width="12.21875" bestFit="1" customWidth="1"/>
    <col min="9" max="9" width="11.77734375" bestFit="1" customWidth="1"/>
    <col min="10" max="10" width="9.21875" bestFit="1" customWidth="1"/>
    <col min="12" max="12" width="22.21875" bestFit="1" customWidth="1"/>
    <col min="13" max="14" width="20.109375" bestFit="1" customWidth="1"/>
  </cols>
  <sheetData>
    <row r="1" spans="1:14" x14ac:dyDescent="0.3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 s="1">
        <v>43830</v>
      </c>
      <c r="B2">
        <v>151.81</v>
      </c>
      <c r="C2">
        <v>159.55000000000001</v>
      </c>
      <c r="D2">
        <v>146.64999</v>
      </c>
      <c r="E2">
        <v>157.69999999999999</v>
      </c>
      <c r="F2">
        <v>450303300</v>
      </c>
      <c r="H2">
        <v>100</v>
      </c>
      <c r="I2">
        <v>100</v>
      </c>
    </row>
    <row r="3" spans="1:14" x14ac:dyDescent="0.3">
      <c r="A3" s="1">
        <v>43861</v>
      </c>
      <c r="B3">
        <v>158.78</v>
      </c>
      <c r="C3">
        <v>174.050003</v>
      </c>
      <c r="D3">
        <v>156.50998999999999</v>
      </c>
      <c r="E3">
        <v>170.23</v>
      </c>
      <c r="F3">
        <v>558530000</v>
      </c>
      <c r="G3" s="2">
        <f>E3/E2-1</f>
        <v>7.9454660748256245E-2</v>
      </c>
      <c r="H3">
        <f>H2*(1+G3)</f>
        <v>107.94546607482562</v>
      </c>
      <c r="I3">
        <f>IF(H3&gt;I2,H3,I2)</f>
        <v>107.94546607482562</v>
      </c>
      <c r="J3" s="2">
        <f>H3/I3-1</f>
        <v>0</v>
      </c>
      <c r="L3" s="4" t="s">
        <v>13</v>
      </c>
      <c r="M3" s="4">
        <f>SLOPE(G3:G62,SPY_Monthly!G3:G62)</f>
        <v>0.87829948522049528</v>
      </c>
      <c r="N3" s="10"/>
    </row>
    <row r="4" spans="1:14" x14ac:dyDescent="0.3">
      <c r="A4" s="1">
        <v>43889</v>
      </c>
      <c r="B4">
        <v>170.42999</v>
      </c>
      <c r="C4">
        <v>190.7</v>
      </c>
      <c r="D4">
        <v>152</v>
      </c>
      <c r="E4">
        <v>162.0099945</v>
      </c>
      <c r="F4">
        <v>887522300</v>
      </c>
      <c r="G4" s="2">
        <f t="shared" ref="G4:G62" si="0">E4/E3-1</f>
        <v>-4.8287643188627105E-2</v>
      </c>
      <c r="H4">
        <f t="shared" ref="H4:H62" si="1">H3*(1+G4)</f>
        <v>102.73303392517438</v>
      </c>
      <c r="I4">
        <f t="shared" ref="I4:I62" si="2">IF(H4&gt;I3,H4,I3)</f>
        <v>107.94546607482562</v>
      </c>
      <c r="J4" s="2">
        <f t="shared" ref="J4:J62" si="3">H4/I4-1</f>
        <v>-4.8287643188627105E-2</v>
      </c>
      <c r="L4" t="s">
        <v>10</v>
      </c>
      <c r="M4" s="3" cm="1">
        <f t="array" ref="M4">POWER(PRODUCT(1+G3:G62),1/5)-1</f>
        <v>0.21728754131617789</v>
      </c>
    </row>
    <row r="5" spans="1:14" x14ac:dyDescent="0.3">
      <c r="A5" s="1">
        <v>43921</v>
      </c>
      <c r="B5">
        <v>165.31</v>
      </c>
      <c r="C5">
        <v>175</v>
      </c>
      <c r="D5">
        <v>132.52000000000001</v>
      </c>
      <c r="E5">
        <v>157.71001000000001</v>
      </c>
      <c r="F5">
        <v>1612695500</v>
      </c>
      <c r="G5" s="2">
        <f t="shared" si="0"/>
        <v>-2.6541476735868819E-2</v>
      </c>
      <c r="H5">
        <f t="shared" si="1"/>
        <v>100.00634749524414</v>
      </c>
      <c r="I5">
        <f t="shared" si="2"/>
        <v>107.94546607482562</v>
      </c>
      <c r="J5" s="2">
        <f t="shared" si="3"/>
        <v>-7.3547494566175042E-2</v>
      </c>
      <c r="L5" t="s">
        <v>11</v>
      </c>
      <c r="M5" s="3" cm="1">
        <f t="array" ref="M5">POWER(PRODUCT(1+SPY_Monthly!G3:G62),1/5)-1</f>
        <v>0.12734796208311283</v>
      </c>
    </row>
    <row r="6" spans="1:14" x14ac:dyDescent="0.3">
      <c r="A6" s="1">
        <v>43951</v>
      </c>
      <c r="B6">
        <v>153</v>
      </c>
      <c r="C6">
        <v>180.39999</v>
      </c>
      <c r="D6">
        <v>150.36000000000001</v>
      </c>
      <c r="E6">
        <v>179.21001000000001</v>
      </c>
      <c r="F6">
        <v>984705000</v>
      </c>
      <c r="G6" s="2">
        <f t="shared" si="0"/>
        <v>0.13632615963945471</v>
      </c>
      <c r="H6">
        <f t="shared" si="1"/>
        <v>113.63982878883958</v>
      </c>
      <c r="I6">
        <f t="shared" si="2"/>
        <v>113.63982878883958</v>
      </c>
      <c r="J6" s="2">
        <f t="shared" si="3"/>
        <v>0</v>
      </c>
    </row>
    <row r="7" spans="1:14" x14ac:dyDescent="0.3">
      <c r="A7" s="1">
        <v>43980</v>
      </c>
      <c r="B7">
        <v>175.8</v>
      </c>
      <c r="C7">
        <v>187.50998999999999</v>
      </c>
      <c r="D7">
        <v>173.8</v>
      </c>
      <c r="E7">
        <v>183.25</v>
      </c>
      <c r="F7">
        <v>688845000</v>
      </c>
      <c r="G7" s="2">
        <f t="shared" si="0"/>
        <v>2.2543327797370116E-2</v>
      </c>
      <c r="H7">
        <f t="shared" si="1"/>
        <v>116.2016487000634</v>
      </c>
      <c r="I7">
        <f t="shared" si="2"/>
        <v>116.2016487000634</v>
      </c>
      <c r="J7" s="2">
        <f t="shared" si="3"/>
        <v>0</v>
      </c>
      <c r="L7" s="4" t="s">
        <v>12</v>
      </c>
      <c r="M7" s="9">
        <f>ABS(MIN(J3:J62))</f>
        <v>0.30979426409983768</v>
      </c>
    </row>
    <row r="8" spans="1:14" x14ac:dyDescent="0.3">
      <c r="A8" s="1">
        <v>44012</v>
      </c>
      <c r="B8">
        <v>182.53998999999999</v>
      </c>
      <c r="C8">
        <v>204.39999</v>
      </c>
      <c r="D8">
        <v>181.35001</v>
      </c>
      <c r="E8">
        <v>203.50998999999999</v>
      </c>
      <c r="F8">
        <v>764965400</v>
      </c>
      <c r="G8" s="2">
        <f t="shared" si="0"/>
        <v>0.11055929058663017</v>
      </c>
      <c r="H8">
        <f t="shared" si="1"/>
        <v>129.04882054533923</v>
      </c>
      <c r="I8">
        <f t="shared" si="2"/>
        <v>129.04882054533923</v>
      </c>
      <c r="J8" s="2">
        <f t="shared" si="3"/>
        <v>0</v>
      </c>
    </row>
    <row r="9" spans="1:14" x14ac:dyDescent="0.3">
      <c r="A9" s="1">
        <v>44043</v>
      </c>
      <c r="B9">
        <v>203.14</v>
      </c>
      <c r="C9">
        <v>216.38</v>
      </c>
      <c r="D9">
        <v>197.50998999999999</v>
      </c>
      <c r="E9">
        <v>205.0099945</v>
      </c>
      <c r="F9">
        <v>770190800</v>
      </c>
      <c r="G9" s="2">
        <f t="shared" si="0"/>
        <v>7.3706676512539371E-3</v>
      </c>
      <c r="H9">
        <f t="shared" si="1"/>
        <v>129.99999651236524</v>
      </c>
      <c r="I9">
        <f t="shared" si="2"/>
        <v>129.99999651236524</v>
      </c>
      <c r="J9" s="2">
        <f t="shared" si="3"/>
        <v>0</v>
      </c>
    </row>
    <row r="10" spans="1:14" x14ac:dyDescent="0.3">
      <c r="A10" s="1">
        <v>44074</v>
      </c>
      <c r="B10">
        <v>211.52</v>
      </c>
      <c r="C10">
        <v>231.14999</v>
      </c>
      <c r="D10">
        <v>203.14</v>
      </c>
      <c r="E10">
        <v>225.53</v>
      </c>
      <c r="F10">
        <v>692423900</v>
      </c>
      <c r="G10" s="2">
        <f t="shared" si="0"/>
        <v>0.10009270791917424</v>
      </c>
      <c r="H10">
        <f t="shared" si="1"/>
        <v>143.01204819277109</v>
      </c>
      <c r="I10">
        <f t="shared" si="2"/>
        <v>143.01204819277109</v>
      </c>
      <c r="J10" s="2">
        <f t="shared" si="3"/>
        <v>0</v>
      </c>
    </row>
    <row r="11" spans="1:14" x14ac:dyDescent="0.3">
      <c r="A11" s="1">
        <v>44104</v>
      </c>
      <c r="B11">
        <v>225.50998999999999</v>
      </c>
      <c r="C11">
        <v>232.86</v>
      </c>
      <c r="D11">
        <v>196.25</v>
      </c>
      <c r="E11">
        <v>210.33</v>
      </c>
      <c r="F11">
        <v>768176300</v>
      </c>
      <c r="G11" s="2">
        <f t="shared" si="0"/>
        <v>-6.7396798652063938E-2</v>
      </c>
      <c r="H11">
        <f t="shared" si="1"/>
        <v>133.37349397590364</v>
      </c>
      <c r="I11">
        <f t="shared" si="2"/>
        <v>143.01204819277109</v>
      </c>
      <c r="J11" s="2">
        <f t="shared" si="3"/>
        <v>-6.7396798652063827E-2</v>
      </c>
    </row>
    <row r="12" spans="1:14" x14ac:dyDescent="0.3">
      <c r="A12" s="1">
        <v>44134</v>
      </c>
      <c r="B12">
        <v>213.49001000000001</v>
      </c>
      <c r="C12">
        <v>225.21001000000001</v>
      </c>
      <c r="D12">
        <v>199.62</v>
      </c>
      <c r="E12">
        <v>202.47</v>
      </c>
      <c r="F12">
        <v>631618000</v>
      </c>
      <c r="G12" s="2">
        <f t="shared" si="0"/>
        <v>-3.7369847382684451E-2</v>
      </c>
      <c r="H12">
        <f t="shared" si="1"/>
        <v>128.38934686112873</v>
      </c>
      <c r="I12">
        <f t="shared" si="2"/>
        <v>143.01204819277109</v>
      </c>
      <c r="J12" s="2">
        <f t="shared" si="3"/>
        <v>-0.10224803795503923</v>
      </c>
    </row>
    <row r="13" spans="1:14" x14ac:dyDescent="0.3">
      <c r="A13" s="1">
        <v>44165</v>
      </c>
      <c r="B13">
        <v>204.28998999999999</v>
      </c>
      <c r="C13">
        <v>228.12</v>
      </c>
      <c r="D13">
        <v>200.12</v>
      </c>
      <c r="E13">
        <v>214.070007</v>
      </c>
      <c r="F13">
        <v>573443000</v>
      </c>
      <c r="G13" s="2">
        <f t="shared" si="0"/>
        <v>5.7292472958957008E-2</v>
      </c>
      <c r="H13">
        <f t="shared" si="1"/>
        <v>135.74509004438809</v>
      </c>
      <c r="I13">
        <f t="shared" si="2"/>
        <v>143.01204819277109</v>
      </c>
      <c r="J13" s="2">
        <f t="shared" si="3"/>
        <v>-5.0813607945727757E-2</v>
      </c>
    </row>
    <row r="14" spans="1:14" x14ac:dyDescent="0.3">
      <c r="A14" s="1">
        <v>44196</v>
      </c>
      <c r="B14">
        <v>214.50998999999999</v>
      </c>
      <c r="C14">
        <v>227.17999</v>
      </c>
      <c r="D14">
        <v>209.11</v>
      </c>
      <c r="E14">
        <v>222.42</v>
      </c>
      <c r="F14">
        <v>594761700</v>
      </c>
      <c r="G14" s="2">
        <f t="shared" si="0"/>
        <v>3.9005898663795557E-2</v>
      </c>
      <c r="H14">
        <f t="shared" si="1"/>
        <v>141.03994927076729</v>
      </c>
      <c r="I14">
        <f t="shared" si="2"/>
        <v>143.01204819277109</v>
      </c>
      <c r="J14" s="2">
        <f t="shared" si="3"/>
        <v>-1.3789739724205163E-2</v>
      </c>
    </row>
    <row r="15" spans="1:14" x14ac:dyDescent="0.3">
      <c r="A15" s="1">
        <v>44225</v>
      </c>
      <c r="B15">
        <v>222.53</v>
      </c>
      <c r="C15">
        <v>242.64</v>
      </c>
      <c r="D15">
        <v>211.94</v>
      </c>
      <c r="E15">
        <v>231.96001000000001</v>
      </c>
      <c r="F15">
        <v>648076400</v>
      </c>
      <c r="G15" s="2">
        <f t="shared" si="0"/>
        <v>4.2891871234601364E-2</v>
      </c>
      <c r="H15">
        <f t="shared" si="1"/>
        <v>147.08941661382374</v>
      </c>
      <c r="I15">
        <f t="shared" si="2"/>
        <v>147.08941661382374</v>
      </c>
      <c r="J15" s="2">
        <f t="shared" si="3"/>
        <v>0</v>
      </c>
    </row>
    <row r="16" spans="1:14" x14ac:dyDescent="0.3">
      <c r="A16" s="1">
        <v>44253</v>
      </c>
      <c r="B16">
        <v>235.05999800000001</v>
      </c>
      <c r="C16">
        <v>246.13</v>
      </c>
      <c r="D16">
        <v>227.88</v>
      </c>
      <c r="E16">
        <v>232.38</v>
      </c>
      <c r="F16">
        <v>490962200</v>
      </c>
      <c r="G16" s="2">
        <f t="shared" si="0"/>
        <v>1.8106138208908718E-3</v>
      </c>
      <c r="H16">
        <f t="shared" si="1"/>
        <v>147.35573874445151</v>
      </c>
      <c r="I16">
        <f t="shared" si="2"/>
        <v>147.35573874445151</v>
      </c>
      <c r="J16" s="2">
        <f t="shared" si="3"/>
        <v>0</v>
      </c>
    </row>
    <row r="17" spans="1:10" x14ac:dyDescent="0.3">
      <c r="A17" s="1">
        <v>44286</v>
      </c>
      <c r="B17">
        <v>235.89999</v>
      </c>
      <c r="C17">
        <v>241.050003</v>
      </c>
      <c r="D17">
        <v>224.25998999999999</v>
      </c>
      <c r="E17">
        <v>235.77</v>
      </c>
      <c r="F17">
        <v>724945800</v>
      </c>
      <c r="G17" s="2">
        <f t="shared" si="0"/>
        <v>1.4588174541698917E-2</v>
      </c>
      <c r="H17">
        <f t="shared" si="1"/>
        <v>149.50538998097656</v>
      </c>
      <c r="I17">
        <f t="shared" si="2"/>
        <v>149.50538998097656</v>
      </c>
      <c r="J17" s="2">
        <f t="shared" si="3"/>
        <v>0</v>
      </c>
    </row>
    <row r="18" spans="1:10" x14ac:dyDescent="0.3">
      <c r="A18" s="1">
        <v>44316</v>
      </c>
      <c r="B18">
        <v>238.47</v>
      </c>
      <c r="C18">
        <v>263.19</v>
      </c>
      <c r="D18">
        <v>238.050003</v>
      </c>
      <c r="E18">
        <v>252.17999</v>
      </c>
      <c r="F18">
        <v>568661600</v>
      </c>
      <c r="G18" s="2">
        <f t="shared" si="0"/>
        <v>6.9601688085846325E-2</v>
      </c>
      <c r="H18">
        <f t="shared" si="1"/>
        <v>159.9112175015853</v>
      </c>
      <c r="I18">
        <f t="shared" si="2"/>
        <v>159.9112175015853</v>
      </c>
      <c r="J18" s="2">
        <f t="shared" si="3"/>
        <v>0</v>
      </c>
    </row>
    <row r="19" spans="1:10" x14ac:dyDescent="0.3">
      <c r="A19" s="1">
        <v>44344</v>
      </c>
      <c r="B19">
        <v>253.39999</v>
      </c>
      <c r="C19">
        <v>254.35001</v>
      </c>
      <c r="D19">
        <v>238.070007</v>
      </c>
      <c r="E19">
        <v>249.67999</v>
      </c>
      <c r="F19">
        <v>495084900</v>
      </c>
      <c r="G19" s="2">
        <f t="shared" si="0"/>
        <v>-9.9135542038842894E-3</v>
      </c>
      <c r="H19">
        <f t="shared" si="1"/>
        <v>158.32592897907421</v>
      </c>
      <c r="I19">
        <f t="shared" si="2"/>
        <v>159.9112175015853</v>
      </c>
      <c r="J19" s="2">
        <f t="shared" si="3"/>
        <v>-9.9135542038842894E-3</v>
      </c>
    </row>
    <row r="20" spans="1:10" x14ac:dyDescent="0.3">
      <c r="A20" s="1">
        <v>44377</v>
      </c>
      <c r="B20">
        <v>251.23</v>
      </c>
      <c r="C20">
        <v>271.64999</v>
      </c>
      <c r="D20">
        <v>243</v>
      </c>
      <c r="E20">
        <v>270.89999</v>
      </c>
      <c r="F20">
        <v>508572200</v>
      </c>
      <c r="G20" s="2">
        <f t="shared" si="0"/>
        <v>8.4988789049534885E-2</v>
      </c>
      <c r="H20">
        <f t="shared" si="1"/>
        <v>171.78185795814838</v>
      </c>
      <c r="I20">
        <f t="shared" si="2"/>
        <v>171.78185795814838</v>
      </c>
      <c r="J20" s="2">
        <f t="shared" si="3"/>
        <v>0</v>
      </c>
    </row>
    <row r="21" spans="1:10" x14ac:dyDescent="0.3">
      <c r="A21" s="1">
        <v>44407</v>
      </c>
      <c r="B21">
        <v>269.60998999999998</v>
      </c>
      <c r="C21">
        <v>290.14999</v>
      </c>
      <c r="D21">
        <v>269.60001</v>
      </c>
      <c r="E21">
        <v>284.91000000000003</v>
      </c>
      <c r="F21">
        <v>522672700</v>
      </c>
      <c r="G21" s="2">
        <f t="shared" si="0"/>
        <v>5.1716539376764237E-2</v>
      </c>
      <c r="H21">
        <f t="shared" si="1"/>
        <v>180.66582117945467</v>
      </c>
      <c r="I21">
        <f t="shared" si="2"/>
        <v>180.66582117945467</v>
      </c>
      <c r="J21" s="2">
        <f t="shared" si="3"/>
        <v>0</v>
      </c>
    </row>
    <row r="22" spans="1:10" x14ac:dyDescent="0.3">
      <c r="A22" s="1">
        <v>44439</v>
      </c>
      <c r="B22">
        <v>286.35998999999998</v>
      </c>
      <c r="C22">
        <v>305.83999999999997</v>
      </c>
      <c r="D22">
        <v>283.73998999999998</v>
      </c>
      <c r="E22">
        <v>301.88</v>
      </c>
      <c r="F22">
        <v>441308900</v>
      </c>
      <c r="G22" s="2">
        <f t="shared" si="0"/>
        <v>5.9562668912990002E-2</v>
      </c>
      <c r="H22">
        <f t="shared" si="1"/>
        <v>191.42675967025997</v>
      </c>
      <c r="I22">
        <f t="shared" si="2"/>
        <v>191.42675967025997</v>
      </c>
      <c r="J22" s="2">
        <f t="shared" si="3"/>
        <v>0</v>
      </c>
    </row>
    <row r="23" spans="1:10" x14ac:dyDescent="0.3">
      <c r="A23" s="1">
        <v>44469</v>
      </c>
      <c r="B23">
        <v>302.87</v>
      </c>
      <c r="C23">
        <v>305.32001000000002</v>
      </c>
      <c r="D23">
        <v>281.62</v>
      </c>
      <c r="E23">
        <v>281.92000999999999</v>
      </c>
      <c r="F23">
        <v>502918700</v>
      </c>
      <c r="G23" s="2">
        <f t="shared" si="0"/>
        <v>-6.6118954551477427E-2</v>
      </c>
      <c r="H23">
        <f t="shared" si="1"/>
        <v>178.76982244768547</v>
      </c>
      <c r="I23">
        <f t="shared" si="2"/>
        <v>191.42675967025997</v>
      </c>
      <c r="J23" s="2">
        <f t="shared" si="3"/>
        <v>-6.6118954551477316E-2</v>
      </c>
    </row>
    <row r="24" spans="1:10" x14ac:dyDescent="0.3">
      <c r="A24" s="1">
        <v>44498</v>
      </c>
      <c r="B24">
        <v>282.12</v>
      </c>
      <c r="C24">
        <v>332</v>
      </c>
      <c r="D24">
        <v>280.25</v>
      </c>
      <c r="E24">
        <v>331.62</v>
      </c>
      <c r="F24">
        <v>516515800</v>
      </c>
      <c r="G24" s="2">
        <f t="shared" si="0"/>
        <v>0.17629110470023046</v>
      </c>
      <c r="H24">
        <f t="shared" si="1"/>
        <v>210.28535193405199</v>
      </c>
      <c r="I24">
        <f t="shared" si="2"/>
        <v>210.28535193405199</v>
      </c>
      <c r="J24" s="2">
        <f t="shared" si="3"/>
        <v>0</v>
      </c>
    </row>
    <row r="25" spans="1:10" x14ac:dyDescent="0.3">
      <c r="A25" s="1">
        <v>44530</v>
      </c>
      <c r="B25">
        <v>331.35998999999998</v>
      </c>
      <c r="C25">
        <v>349.67000999999999</v>
      </c>
      <c r="D25">
        <v>326.37</v>
      </c>
      <c r="E25">
        <v>330.59</v>
      </c>
      <c r="F25">
        <v>509885200</v>
      </c>
      <c r="G25" s="2">
        <f t="shared" si="0"/>
        <v>-3.105964658344007E-3</v>
      </c>
      <c r="H25">
        <f t="shared" si="1"/>
        <v>209.6322130627774</v>
      </c>
      <c r="I25">
        <f t="shared" si="2"/>
        <v>210.28535193405199</v>
      </c>
      <c r="J25" s="2">
        <f t="shared" si="3"/>
        <v>-3.105964658344007E-3</v>
      </c>
    </row>
    <row r="26" spans="1:10" x14ac:dyDescent="0.3">
      <c r="A26" s="1">
        <v>44561</v>
      </c>
      <c r="B26">
        <v>335.13</v>
      </c>
      <c r="C26">
        <v>344.29998999999998</v>
      </c>
      <c r="D26">
        <v>317.25</v>
      </c>
      <c r="E26">
        <v>336.32001000000002</v>
      </c>
      <c r="F26">
        <v>625674800</v>
      </c>
      <c r="G26" s="2">
        <f t="shared" si="0"/>
        <v>1.7332677939441821E-2</v>
      </c>
      <c r="H26">
        <f t="shared" si="1"/>
        <v>213.26570069752697</v>
      </c>
      <c r="I26">
        <f t="shared" si="2"/>
        <v>213.26570069752697</v>
      </c>
      <c r="J26" s="2">
        <f t="shared" si="3"/>
        <v>0</v>
      </c>
    </row>
    <row r="27" spans="1:10" x14ac:dyDescent="0.3">
      <c r="A27" s="1">
        <v>44592</v>
      </c>
      <c r="B27">
        <v>335.35001</v>
      </c>
      <c r="C27">
        <v>338</v>
      </c>
      <c r="D27">
        <v>276.04998799999998</v>
      </c>
      <c r="E27">
        <v>310.98000999999999</v>
      </c>
      <c r="F27">
        <v>947531400</v>
      </c>
      <c r="G27" s="2">
        <f t="shared" si="0"/>
        <v>-7.5344907369621072E-2</v>
      </c>
      <c r="H27">
        <f t="shared" si="1"/>
        <v>197.19721623335445</v>
      </c>
      <c r="I27">
        <f t="shared" si="2"/>
        <v>213.26570069752697</v>
      </c>
      <c r="J27" s="2">
        <f t="shared" si="3"/>
        <v>-7.5344907369621184E-2</v>
      </c>
    </row>
    <row r="28" spans="1:10" x14ac:dyDescent="0.3">
      <c r="A28" s="1">
        <v>44620</v>
      </c>
      <c r="B28">
        <v>310.41000000000003</v>
      </c>
      <c r="C28">
        <v>315.12</v>
      </c>
      <c r="D28">
        <v>271.51999000000001</v>
      </c>
      <c r="E28">
        <v>298.79001</v>
      </c>
      <c r="F28">
        <v>697050600</v>
      </c>
      <c r="G28" s="2">
        <f t="shared" si="0"/>
        <v>-3.9198661032906923E-2</v>
      </c>
      <c r="H28">
        <f t="shared" si="1"/>
        <v>189.46734939759034</v>
      </c>
      <c r="I28">
        <f t="shared" si="2"/>
        <v>213.26570069752697</v>
      </c>
      <c r="J28" s="2">
        <f t="shared" si="3"/>
        <v>-0.11159014891799046</v>
      </c>
    </row>
    <row r="29" spans="1:10" x14ac:dyDescent="0.3">
      <c r="A29" s="1">
        <v>44651</v>
      </c>
      <c r="B29">
        <v>296.39999</v>
      </c>
      <c r="C29">
        <v>315.95001000000002</v>
      </c>
      <c r="D29">
        <v>270</v>
      </c>
      <c r="E29">
        <v>308.31</v>
      </c>
      <c r="F29">
        <v>734334200</v>
      </c>
      <c r="G29" s="2">
        <f t="shared" si="0"/>
        <v>3.18618082311386E-2</v>
      </c>
      <c r="H29">
        <f t="shared" si="1"/>
        <v>195.5041217501585</v>
      </c>
      <c r="I29">
        <f t="shared" si="2"/>
        <v>213.26570069752697</v>
      </c>
      <c r="J29" s="2">
        <f t="shared" si="3"/>
        <v>-8.3283804612161116E-2</v>
      </c>
    </row>
    <row r="30" spans="1:10" x14ac:dyDescent="0.3">
      <c r="A30" s="1">
        <v>44680</v>
      </c>
      <c r="B30">
        <v>309.37</v>
      </c>
      <c r="C30">
        <v>315.10998999999998</v>
      </c>
      <c r="D30">
        <v>270</v>
      </c>
      <c r="E30">
        <v>277.51999000000001</v>
      </c>
      <c r="F30">
        <v>627343400</v>
      </c>
      <c r="G30" s="2">
        <f t="shared" si="0"/>
        <v>-9.9867049398332797E-2</v>
      </c>
      <c r="H30">
        <f t="shared" si="1"/>
        <v>175.97970196575776</v>
      </c>
      <c r="I30">
        <f t="shared" si="2"/>
        <v>213.26570069752697</v>
      </c>
      <c r="J30" s="2">
        <f t="shared" si="3"/>
        <v>-0.17483354618121005</v>
      </c>
    </row>
    <row r="31" spans="1:10" x14ac:dyDescent="0.3">
      <c r="A31" s="1">
        <v>44712</v>
      </c>
      <c r="B31">
        <v>277.70999</v>
      </c>
      <c r="C31">
        <v>290.88</v>
      </c>
      <c r="D31">
        <v>246.44</v>
      </c>
      <c r="E31">
        <v>271.87</v>
      </c>
      <c r="F31">
        <v>742902000</v>
      </c>
      <c r="G31" s="2">
        <f t="shared" si="0"/>
        <v>-2.0358857752913573E-2</v>
      </c>
      <c r="H31">
        <f t="shared" si="1"/>
        <v>172.39695624603678</v>
      </c>
      <c r="I31">
        <f t="shared" si="2"/>
        <v>213.26570069752697</v>
      </c>
      <c r="J31" s="2">
        <f t="shared" si="3"/>
        <v>-0.19163299263698297</v>
      </c>
    </row>
    <row r="32" spans="1:10" x14ac:dyDescent="0.3">
      <c r="A32" s="1">
        <v>44742</v>
      </c>
      <c r="B32">
        <v>275.20001000000002</v>
      </c>
      <c r="C32">
        <v>277.69</v>
      </c>
      <c r="D32">
        <v>241.50998999999999</v>
      </c>
      <c r="E32">
        <v>256.82999000000001</v>
      </c>
      <c r="F32">
        <v>621372300</v>
      </c>
      <c r="G32" s="2">
        <f t="shared" si="0"/>
        <v>-5.532059440173609E-2</v>
      </c>
      <c r="H32">
        <f t="shared" si="1"/>
        <v>162.85985415345593</v>
      </c>
      <c r="I32">
        <f t="shared" si="2"/>
        <v>213.26570069752697</v>
      </c>
      <c r="J32" s="2">
        <f t="shared" si="3"/>
        <v>-0.23635233597905758</v>
      </c>
    </row>
    <row r="33" spans="1:10" x14ac:dyDescent="0.3">
      <c r="A33" s="1">
        <v>44771</v>
      </c>
      <c r="B33">
        <v>256.39001000000002</v>
      </c>
      <c r="C33">
        <v>282</v>
      </c>
      <c r="D33">
        <v>245.94</v>
      </c>
      <c r="E33">
        <v>280.73998999999998</v>
      </c>
      <c r="F33">
        <v>534891800</v>
      </c>
      <c r="G33" s="2">
        <f t="shared" si="0"/>
        <v>9.3096604489218526E-2</v>
      </c>
      <c r="H33">
        <f t="shared" si="1"/>
        <v>178.02155358275203</v>
      </c>
      <c r="I33">
        <f t="shared" si="2"/>
        <v>213.26570069752697</v>
      </c>
      <c r="J33" s="2">
        <f t="shared" si="3"/>
        <v>-0.16525933143258431</v>
      </c>
    </row>
    <row r="34" spans="1:10" x14ac:dyDescent="0.3">
      <c r="A34" s="1">
        <v>44804</v>
      </c>
      <c r="B34">
        <v>277.82001000000002</v>
      </c>
      <c r="C34">
        <v>294.17998999999998</v>
      </c>
      <c r="D34">
        <v>260.66000000000003</v>
      </c>
      <c r="E34">
        <v>261.47000000000003</v>
      </c>
      <c r="F34">
        <v>477157600</v>
      </c>
      <c r="G34" s="2">
        <f t="shared" si="0"/>
        <v>-6.8639989621713471E-2</v>
      </c>
      <c r="H34">
        <f t="shared" si="1"/>
        <v>165.80215599239062</v>
      </c>
      <c r="I34">
        <f t="shared" si="2"/>
        <v>213.26570069752697</v>
      </c>
      <c r="J34" s="2">
        <f t="shared" si="3"/>
        <v>-0.22255592225987386</v>
      </c>
    </row>
    <row r="35" spans="1:10" x14ac:dyDescent="0.3">
      <c r="A35" s="1">
        <v>44834</v>
      </c>
      <c r="B35">
        <v>258.87</v>
      </c>
      <c r="C35">
        <v>267.45001000000002</v>
      </c>
      <c r="D35">
        <v>232.73</v>
      </c>
      <c r="E35">
        <v>232.89999</v>
      </c>
      <c r="F35">
        <v>575586600</v>
      </c>
      <c r="G35" s="2">
        <f t="shared" si="0"/>
        <v>-0.10926687574100291</v>
      </c>
      <c r="H35">
        <f t="shared" si="1"/>
        <v>147.68547241597969</v>
      </c>
      <c r="I35">
        <f t="shared" si="2"/>
        <v>213.26570069752697</v>
      </c>
      <c r="J35" s="2">
        <f t="shared" si="3"/>
        <v>-0.30750480769788291</v>
      </c>
    </row>
    <row r="36" spans="1:10" x14ac:dyDescent="0.3">
      <c r="A36" s="1">
        <v>44865</v>
      </c>
      <c r="B36">
        <v>235.41</v>
      </c>
      <c r="C36">
        <v>251.03999300000001</v>
      </c>
      <c r="D36">
        <v>219.13</v>
      </c>
      <c r="E36">
        <v>232.13</v>
      </c>
      <c r="F36">
        <v>671225100</v>
      </c>
      <c r="G36" s="2">
        <f t="shared" si="0"/>
        <v>-3.3060971793086313E-3</v>
      </c>
      <c r="H36">
        <f t="shared" si="1"/>
        <v>147.19720989220036</v>
      </c>
      <c r="I36">
        <f t="shared" si="2"/>
        <v>213.26570069752697</v>
      </c>
      <c r="J36" s="2">
        <f t="shared" si="3"/>
        <v>-0.30979426409983768</v>
      </c>
    </row>
    <row r="37" spans="1:10" x14ac:dyDescent="0.3">
      <c r="A37" s="1">
        <v>44895</v>
      </c>
      <c r="B37">
        <v>234.60001</v>
      </c>
      <c r="C37">
        <v>255.33</v>
      </c>
      <c r="D37">
        <v>213.42999</v>
      </c>
      <c r="E37">
        <v>255.14</v>
      </c>
      <c r="F37">
        <v>615296000</v>
      </c>
      <c r="G37" s="2">
        <f t="shared" si="0"/>
        <v>9.9125490027139884E-2</v>
      </c>
      <c r="H37">
        <f t="shared" si="1"/>
        <v>161.78820545339249</v>
      </c>
      <c r="I37">
        <f t="shared" si="2"/>
        <v>213.26570069752697</v>
      </c>
      <c r="J37" s="2">
        <f t="shared" si="3"/>
        <v>-0.24137728230919131</v>
      </c>
    </row>
    <row r="38" spans="1:10" x14ac:dyDescent="0.3">
      <c r="A38" s="1">
        <v>44925</v>
      </c>
      <c r="B38">
        <v>253.87</v>
      </c>
      <c r="C38">
        <v>263.92000999999999</v>
      </c>
      <c r="D38">
        <v>233.87</v>
      </c>
      <c r="E38">
        <v>239.82001</v>
      </c>
      <c r="F38">
        <v>591358700</v>
      </c>
      <c r="G38" s="2">
        <f t="shared" si="0"/>
        <v>-6.0045426040605143E-2</v>
      </c>
      <c r="H38">
        <f t="shared" si="1"/>
        <v>152.07356372859857</v>
      </c>
      <c r="I38">
        <f t="shared" si="2"/>
        <v>213.26570069752697</v>
      </c>
      <c r="J38" s="2">
        <f t="shared" si="3"/>
        <v>-0.28692910659701776</v>
      </c>
    </row>
    <row r="39" spans="1:10" x14ac:dyDescent="0.3">
      <c r="A39" s="1">
        <v>44957</v>
      </c>
      <c r="B39">
        <v>243.08000200000001</v>
      </c>
      <c r="C39">
        <v>249.83</v>
      </c>
      <c r="D39">
        <v>219.35001</v>
      </c>
      <c r="E39">
        <v>247.81</v>
      </c>
      <c r="F39">
        <v>666168100</v>
      </c>
      <c r="G39" s="2">
        <f t="shared" si="0"/>
        <v>3.3316611070110413E-2</v>
      </c>
      <c r="H39">
        <f t="shared" si="1"/>
        <v>157.14013950538995</v>
      </c>
      <c r="I39">
        <f t="shared" si="2"/>
        <v>213.26570069752697</v>
      </c>
      <c r="J39" s="2">
        <f t="shared" si="3"/>
        <v>-0.26317200097609439</v>
      </c>
    </row>
    <row r="40" spans="1:10" x14ac:dyDescent="0.3">
      <c r="A40" s="1">
        <v>44985</v>
      </c>
      <c r="B40">
        <v>248</v>
      </c>
      <c r="C40">
        <v>276.76001000000002</v>
      </c>
      <c r="D40">
        <v>245.47</v>
      </c>
      <c r="E40">
        <v>249.42</v>
      </c>
      <c r="F40">
        <v>615501000</v>
      </c>
      <c r="G40" s="2">
        <f t="shared" si="0"/>
        <v>6.4969129575076501E-3</v>
      </c>
      <c r="H40">
        <f t="shared" si="1"/>
        <v>158.16106531388709</v>
      </c>
      <c r="I40">
        <f t="shared" si="2"/>
        <v>213.26570069752697</v>
      </c>
      <c r="J40" s="2">
        <f t="shared" si="3"/>
        <v>-0.25838489360178141</v>
      </c>
    </row>
    <row r="41" spans="1:10" x14ac:dyDescent="0.3">
      <c r="A41" s="1">
        <v>45016</v>
      </c>
      <c r="B41">
        <v>250.75998999999999</v>
      </c>
      <c r="C41">
        <v>289.26999000000001</v>
      </c>
      <c r="D41">
        <v>245.61</v>
      </c>
      <c r="E41">
        <v>288.29998999999998</v>
      </c>
      <c r="F41">
        <v>747635000</v>
      </c>
      <c r="G41" s="2">
        <f t="shared" si="0"/>
        <v>0.15588160532435258</v>
      </c>
      <c r="H41">
        <f t="shared" si="1"/>
        <v>182.81546607482559</v>
      </c>
      <c r="I41">
        <f t="shared" si="2"/>
        <v>213.26570069752697</v>
      </c>
      <c r="J41" s="2">
        <f t="shared" si="3"/>
        <v>-0.14278074028363663</v>
      </c>
    </row>
    <row r="42" spans="1:10" x14ac:dyDescent="0.3">
      <c r="A42" s="1">
        <v>45044</v>
      </c>
      <c r="B42">
        <v>286.51999000000001</v>
      </c>
      <c r="C42">
        <v>308.92998999999998</v>
      </c>
      <c r="D42">
        <v>275.37</v>
      </c>
      <c r="E42">
        <v>307.26001000000002</v>
      </c>
      <c r="F42">
        <v>551497100</v>
      </c>
      <c r="G42" s="2">
        <f t="shared" si="0"/>
        <v>6.5764899957159395E-2</v>
      </c>
      <c r="H42">
        <f t="shared" si="1"/>
        <v>194.83830691185796</v>
      </c>
      <c r="I42">
        <f t="shared" si="2"/>
        <v>213.26570069752697</v>
      </c>
      <c r="J42" s="2">
        <f t="shared" si="3"/>
        <v>-8.6405801427039797E-2</v>
      </c>
    </row>
    <row r="43" spans="1:10" x14ac:dyDescent="0.3">
      <c r="A43" s="1">
        <v>45077</v>
      </c>
      <c r="B43">
        <v>306.97000000000003</v>
      </c>
      <c r="C43">
        <v>335.94</v>
      </c>
      <c r="D43">
        <v>303.39999</v>
      </c>
      <c r="E43">
        <v>328.39001000000002</v>
      </c>
      <c r="F43">
        <v>600807200</v>
      </c>
      <c r="G43" s="2">
        <f t="shared" si="0"/>
        <v>6.876911837632238E-2</v>
      </c>
      <c r="H43">
        <f t="shared" si="1"/>
        <v>208.23716550412175</v>
      </c>
      <c r="I43">
        <f t="shared" si="2"/>
        <v>213.26570069752697</v>
      </c>
      <c r="J43" s="2">
        <f t="shared" si="3"/>
        <v>-2.3578733837454458E-2</v>
      </c>
    </row>
    <row r="44" spans="1:10" x14ac:dyDescent="0.3">
      <c r="A44" s="1">
        <v>45107</v>
      </c>
      <c r="B44">
        <v>325.92998999999998</v>
      </c>
      <c r="C44">
        <v>351.47</v>
      </c>
      <c r="D44">
        <v>322.5</v>
      </c>
      <c r="E44">
        <v>340.54001</v>
      </c>
      <c r="F44">
        <v>547588700</v>
      </c>
      <c r="G44" s="2">
        <f t="shared" si="0"/>
        <v>3.6998689454651679E-2</v>
      </c>
      <c r="H44">
        <f t="shared" si="1"/>
        <v>215.94166772352565</v>
      </c>
      <c r="I44">
        <f t="shared" si="2"/>
        <v>215.94166772352565</v>
      </c>
      <c r="J44" s="2">
        <f t="shared" si="3"/>
        <v>0</v>
      </c>
    </row>
    <row r="45" spans="1:10" x14ac:dyDescent="0.3">
      <c r="A45" s="1">
        <v>45138</v>
      </c>
      <c r="B45">
        <v>339.19</v>
      </c>
      <c r="C45">
        <v>366.78</v>
      </c>
      <c r="D45">
        <v>327</v>
      </c>
      <c r="E45">
        <v>335.92000999999999</v>
      </c>
      <c r="F45">
        <v>666764400</v>
      </c>
      <c r="G45" s="2">
        <f t="shared" si="0"/>
        <v>-1.3566687802704869E-2</v>
      </c>
      <c r="H45">
        <f t="shared" si="1"/>
        <v>213.01205453392515</v>
      </c>
      <c r="I45">
        <f t="shared" si="2"/>
        <v>215.94166772352565</v>
      </c>
      <c r="J45" s="2">
        <f t="shared" si="3"/>
        <v>-1.3566687802704869E-2</v>
      </c>
    </row>
    <row r="46" spans="1:10" x14ac:dyDescent="0.3">
      <c r="A46" s="1">
        <v>45169</v>
      </c>
      <c r="B46">
        <v>335.19</v>
      </c>
      <c r="C46">
        <v>338.54001</v>
      </c>
      <c r="D46">
        <v>311.54998999999998</v>
      </c>
      <c r="E46">
        <v>327.76001000000002</v>
      </c>
      <c r="F46">
        <v>479456700</v>
      </c>
      <c r="G46" s="2">
        <f t="shared" si="0"/>
        <v>-2.4291497252574956E-2</v>
      </c>
      <c r="H46">
        <f t="shared" si="1"/>
        <v>207.83767279644897</v>
      </c>
      <c r="I46">
        <f t="shared" si="2"/>
        <v>215.94166772352565</v>
      </c>
      <c r="J46" s="2">
        <f t="shared" si="3"/>
        <v>-3.7528629895793864E-2</v>
      </c>
    </row>
    <row r="47" spans="1:10" x14ac:dyDescent="0.3">
      <c r="A47" s="1">
        <v>45198</v>
      </c>
      <c r="B47">
        <v>331.31</v>
      </c>
      <c r="C47">
        <v>340.85998999999998</v>
      </c>
      <c r="D47">
        <v>309.45001000000002</v>
      </c>
      <c r="E47">
        <v>315.75</v>
      </c>
      <c r="F47">
        <v>416680700</v>
      </c>
      <c r="G47" s="2">
        <f t="shared" si="0"/>
        <v>-3.664269475705717E-2</v>
      </c>
      <c r="H47">
        <f t="shared" si="1"/>
        <v>200.22194039315156</v>
      </c>
      <c r="I47">
        <f t="shared" si="2"/>
        <v>215.94166772352565</v>
      </c>
      <c r="J47" s="2">
        <f t="shared" si="3"/>
        <v>-7.2796174522928858E-2</v>
      </c>
    </row>
    <row r="48" spans="1:10" x14ac:dyDescent="0.3">
      <c r="A48" s="1">
        <v>45230</v>
      </c>
      <c r="B48">
        <v>316.27999999999997</v>
      </c>
      <c r="C48">
        <v>346.20001000000002</v>
      </c>
      <c r="D48">
        <v>311.20999</v>
      </c>
      <c r="E48">
        <v>338.10998999999998</v>
      </c>
      <c r="F48">
        <v>540907000</v>
      </c>
      <c r="G48" s="2">
        <f t="shared" si="0"/>
        <v>7.0815486935867034E-2</v>
      </c>
      <c r="H48">
        <f t="shared" si="1"/>
        <v>214.40075459733671</v>
      </c>
      <c r="I48">
        <f t="shared" si="2"/>
        <v>215.94166772352565</v>
      </c>
      <c r="J48" s="2">
        <f t="shared" si="3"/>
        <v>-7.1357841329715566E-3</v>
      </c>
    </row>
    <row r="49" spans="1:10" x14ac:dyDescent="0.3">
      <c r="A49" s="1">
        <v>45260</v>
      </c>
      <c r="B49">
        <v>339.79001</v>
      </c>
      <c r="C49">
        <v>384.29998999999998</v>
      </c>
      <c r="D49">
        <v>339.64999</v>
      </c>
      <c r="E49">
        <v>378.91</v>
      </c>
      <c r="F49">
        <v>563880300</v>
      </c>
      <c r="G49" s="2">
        <f t="shared" si="0"/>
        <v>0.12067082075865332</v>
      </c>
      <c r="H49">
        <f t="shared" si="1"/>
        <v>240.27266962587194</v>
      </c>
      <c r="I49">
        <f t="shared" si="2"/>
        <v>240.27266962587194</v>
      </c>
      <c r="J49" s="2">
        <f t="shared" si="3"/>
        <v>0</v>
      </c>
    </row>
    <row r="50" spans="1:10" x14ac:dyDescent="0.3">
      <c r="A50" s="1">
        <v>45289</v>
      </c>
      <c r="B50">
        <v>376.76001000000002</v>
      </c>
      <c r="C50">
        <v>378.16</v>
      </c>
      <c r="D50">
        <v>362.89999</v>
      </c>
      <c r="E50">
        <v>376.040009</v>
      </c>
      <c r="F50">
        <v>522003700</v>
      </c>
      <c r="G50" s="2">
        <f t="shared" si="0"/>
        <v>-7.5743342746299458E-3</v>
      </c>
      <c r="H50">
        <f t="shared" si="1"/>
        <v>238.45276410906786</v>
      </c>
      <c r="I50">
        <f t="shared" si="2"/>
        <v>240.27266962587194</v>
      </c>
      <c r="J50" s="2">
        <f t="shared" si="3"/>
        <v>-7.5743342746299458E-3</v>
      </c>
    </row>
    <row r="51" spans="1:10" x14ac:dyDescent="0.3">
      <c r="A51" s="1">
        <v>45322</v>
      </c>
      <c r="B51">
        <v>373.85998999999998</v>
      </c>
      <c r="C51">
        <v>415.32001000000002</v>
      </c>
      <c r="D51">
        <v>366.5</v>
      </c>
      <c r="E51">
        <v>397.57999000000001</v>
      </c>
      <c r="F51">
        <v>528399000</v>
      </c>
      <c r="G51" s="2">
        <f t="shared" si="0"/>
        <v>5.7281088406739178E-2</v>
      </c>
      <c r="H51">
        <f t="shared" si="1"/>
        <v>252.1115979708307</v>
      </c>
      <c r="I51">
        <f t="shared" si="2"/>
        <v>252.1115979708307</v>
      </c>
      <c r="J51" s="2">
        <f t="shared" si="3"/>
        <v>0</v>
      </c>
    </row>
    <row r="52" spans="1:10" x14ac:dyDescent="0.3">
      <c r="A52" s="1">
        <v>45351</v>
      </c>
      <c r="B52">
        <v>401.82999000000001</v>
      </c>
      <c r="C52">
        <v>420.82001000000002</v>
      </c>
      <c r="D52">
        <v>397.22</v>
      </c>
      <c r="E52">
        <v>413.64001000000002</v>
      </c>
      <c r="F52">
        <v>444176300</v>
      </c>
      <c r="G52" s="2">
        <f t="shared" si="0"/>
        <v>4.039443735586401E-2</v>
      </c>
      <c r="H52">
        <f t="shared" si="1"/>
        <v>262.29550412175018</v>
      </c>
      <c r="I52">
        <f t="shared" si="2"/>
        <v>262.29550412175018</v>
      </c>
      <c r="J52" s="2">
        <f t="shared" si="3"/>
        <v>0</v>
      </c>
    </row>
    <row r="53" spans="1:10" x14ac:dyDescent="0.3">
      <c r="A53" s="1">
        <v>45379</v>
      </c>
      <c r="B53">
        <v>411.26999000000001</v>
      </c>
      <c r="C53">
        <v>430.82001000000002</v>
      </c>
      <c r="D53">
        <v>398.39001000000002</v>
      </c>
      <c r="E53">
        <v>420.72</v>
      </c>
      <c r="F53">
        <v>426349600</v>
      </c>
      <c r="G53" s="2">
        <f t="shared" si="0"/>
        <v>1.7116308453817064E-2</v>
      </c>
      <c r="H53">
        <f t="shared" si="1"/>
        <v>266.78503487634748</v>
      </c>
      <c r="I53">
        <f t="shared" si="2"/>
        <v>266.78503487634748</v>
      </c>
      <c r="J53" s="2">
        <f t="shared" si="3"/>
        <v>0</v>
      </c>
    </row>
    <row r="54" spans="1:10" x14ac:dyDescent="0.3">
      <c r="A54" s="1">
        <v>45412</v>
      </c>
      <c r="B54">
        <v>423.95001000000002</v>
      </c>
      <c r="C54">
        <v>429.37</v>
      </c>
      <c r="D54">
        <v>388.02999899999998</v>
      </c>
      <c r="E54">
        <v>389.32999000000001</v>
      </c>
      <c r="F54">
        <v>440777700</v>
      </c>
      <c r="G54" s="2">
        <f t="shared" si="0"/>
        <v>-7.4610215820498205E-2</v>
      </c>
      <c r="H54">
        <f t="shared" si="1"/>
        <v>246.88014584654405</v>
      </c>
      <c r="I54">
        <f t="shared" si="2"/>
        <v>266.78503487634748</v>
      </c>
      <c r="J54" s="2">
        <f t="shared" si="3"/>
        <v>-7.4610215820498205E-2</v>
      </c>
    </row>
    <row r="55" spans="1:10" x14ac:dyDescent="0.3">
      <c r="A55" s="1">
        <v>45443</v>
      </c>
      <c r="B55">
        <v>392.60998999999998</v>
      </c>
      <c r="C55">
        <v>433.60001</v>
      </c>
      <c r="D55">
        <v>390.31</v>
      </c>
      <c r="E55">
        <v>415.13</v>
      </c>
      <c r="F55">
        <v>413800800</v>
      </c>
      <c r="G55" s="2">
        <f t="shared" si="0"/>
        <v>6.6267718035284195E-2</v>
      </c>
      <c r="H55">
        <f t="shared" si="1"/>
        <v>263.24032974001267</v>
      </c>
      <c r="I55">
        <f t="shared" si="2"/>
        <v>266.78503487634748</v>
      </c>
      <c r="J55" s="2">
        <f t="shared" si="3"/>
        <v>-1.3286746529758475E-2</v>
      </c>
    </row>
    <row r="56" spans="1:10" x14ac:dyDescent="0.3">
      <c r="A56" s="1">
        <v>45471</v>
      </c>
      <c r="B56">
        <v>415.53</v>
      </c>
      <c r="C56">
        <v>456.17000999999999</v>
      </c>
      <c r="D56">
        <v>408.92000999999999</v>
      </c>
      <c r="E56">
        <v>446.95001000000002</v>
      </c>
      <c r="F56">
        <v>342370400</v>
      </c>
      <c r="G56" s="2">
        <f t="shared" si="0"/>
        <v>7.6650711825211548E-2</v>
      </c>
      <c r="H56">
        <f t="shared" si="1"/>
        <v>283.41788839568807</v>
      </c>
      <c r="I56">
        <f t="shared" si="2"/>
        <v>283.41788839568807</v>
      </c>
      <c r="J56" s="2">
        <f t="shared" si="3"/>
        <v>0</v>
      </c>
    </row>
    <row r="57" spans="1:10" x14ac:dyDescent="0.3">
      <c r="A57" s="1">
        <v>45504</v>
      </c>
      <c r="B57">
        <v>448.66</v>
      </c>
      <c r="C57">
        <v>468.35001</v>
      </c>
      <c r="D57">
        <v>412.20999</v>
      </c>
      <c r="E57">
        <v>418.35001</v>
      </c>
      <c r="F57">
        <v>440449200</v>
      </c>
      <c r="G57" s="2">
        <f t="shared" si="0"/>
        <v>-6.398925911199782E-2</v>
      </c>
      <c r="H57">
        <f t="shared" si="1"/>
        <v>265.28218769816112</v>
      </c>
      <c r="I57">
        <f t="shared" si="2"/>
        <v>283.41788839568807</v>
      </c>
      <c r="J57" s="2">
        <f t="shared" si="3"/>
        <v>-6.3989259111997709E-2</v>
      </c>
    </row>
    <row r="58" spans="1:10" x14ac:dyDescent="0.3">
      <c r="A58" s="1">
        <v>45534</v>
      </c>
      <c r="B58">
        <v>420.79001</v>
      </c>
      <c r="C58">
        <v>427.45999</v>
      </c>
      <c r="D58">
        <v>385.57999000000001</v>
      </c>
      <c r="E58">
        <v>417.14001000000002</v>
      </c>
      <c r="F58">
        <v>451919000</v>
      </c>
      <c r="G58" s="2">
        <f t="shared" si="0"/>
        <v>-2.8923149780729629E-3</v>
      </c>
      <c r="H58">
        <f t="shared" si="1"/>
        <v>264.51490805326574</v>
      </c>
      <c r="I58">
        <f t="shared" si="2"/>
        <v>283.41788839568807</v>
      </c>
      <c r="J58" s="2">
        <f t="shared" si="3"/>
        <v>-6.669649699750535E-2</v>
      </c>
    </row>
    <row r="59" spans="1:10" x14ac:dyDescent="0.3">
      <c r="A59" s="1">
        <v>45565</v>
      </c>
      <c r="B59">
        <v>417.91</v>
      </c>
      <c r="C59">
        <v>441.85001</v>
      </c>
      <c r="D59">
        <v>400.79998999999998</v>
      </c>
      <c r="E59">
        <v>430.29998999999998</v>
      </c>
      <c r="F59">
        <v>376921200</v>
      </c>
      <c r="G59" s="2">
        <f t="shared" si="0"/>
        <v>3.1548112586946342E-2</v>
      </c>
      <c r="H59">
        <f t="shared" si="1"/>
        <v>272.85985415345596</v>
      </c>
      <c r="I59">
        <f t="shared" si="2"/>
        <v>283.41788839568807</v>
      </c>
      <c r="J59" s="2">
        <f t="shared" si="3"/>
        <v>-3.7252533006991162E-2</v>
      </c>
    </row>
    <row r="60" spans="1:10" x14ac:dyDescent="0.3">
      <c r="A60" s="1">
        <v>45596</v>
      </c>
      <c r="B60">
        <v>428.45001000000002</v>
      </c>
      <c r="C60">
        <v>438.5</v>
      </c>
      <c r="D60">
        <v>406.29998999999998</v>
      </c>
      <c r="E60">
        <v>406.35001</v>
      </c>
      <c r="F60">
        <v>440745500</v>
      </c>
      <c r="G60" s="2">
        <f t="shared" si="0"/>
        <v>-5.5658797482193711E-2</v>
      </c>
      <c r="H60">
        <f t="shared" si="1"/>
        <v>257.67280279010782</v>
      </c>
      <c r="I60">
        <f t="shared" si="2"/>
        <v>283.41788839568807</v>
      </c>
      <c r="J60" s="2">
        <f t="shared" si="3"/>
        <v>-9.0837899298850111E-2</v>
      </c>
    </row>
    <row r="61" spans="1:10" x14ac:dyDescent="0.3">
      <c r="A61" s="1">
        <v>45625</v>
      </c>
      <c r="B61">
        <v>409.01001000000002</v>
      </c>
      <c r="C61">
        <v>429.32999000000001</v>
      </c>
      <c r="D61">
        <v>405.57001000000002</v>
      </c>
      <c r="E61">
        <v>423.45999</v>
      </c>
      <c r="F61">
        <v>442321200</v>
      </c>
      <c r="G61" s="2">
        <f t="shared" si="0"/>
        <v>4.2106508130761444E-2</v>
      </c>
      <c r="H61">
        <f t="shared" si="1"/>
        <v>268.52250475586561</v>
      </c>
      <c r="I61">
        <f t="shared" si="2"/>
        <v>283.41788839568807</v>
      </c>
      <c r="J61" s="2">
        <f t="shared" si="3"/>
        <v>-5.2556257913496829E-2</v>
      </c>
    </row>
    <row r="62" spans="1:10" x14ac:dyDescent="0.3">
      <c r="A62" s="1">
        <v>45657</v>
      </c>
      <c r="B62">
        <v>421.57001000000002</v>
      </c>
      <c r="C62">
        <v>456.16</v>
      </c>
      <c r="D62">
        <v>420.66</v>
      </c>
      <c r="E62">
        <v>421.5</v>
      </c>
      <c r="F62">
        <v>439902400</v>
      </c>
      <c r="G62" s="2">
        <f t="shared" si="0"/>
        <v>-4.62851283777721E-3</v>
      </c>
      <c r="H62">
        <f t="shared" si="1"/>
        <v>267.27964489537101</v>
      </c>
      <c r="I62">
        <f t="shared" si="2"/>
        <v>283.41788839568807</v>
      </c>
      <c r="J62" s="2">
        <f t="shared" si="3"/>
        <v>-5.694151343681586E-2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2BB7-66EB-4318-8940-E8400F3D639C}">
  <dimension ref="A1:J101"/>
  <sheetViews>
    <sheetView workbookViewId="0"/>
  </sheetViews>
  <sheetFormatPr defaultRowHeight="14.4" x14ac:dyDescent="0.3"/>
  <cols>
    <col min="4" max="4" width="10.77734375" bestFit="1" customWidth="1"/>
    <col min="5" max="5" width="13" bestFit="1" customWidth="1"/>
    <col min="6" max="6" width="11.77734375" bestFit="1" customWidth="1"/>
    <col min="7" max="7" width="20.109375" bestFit="1" customWidth="1"/>
    <col min="9" max="9" width="23.44140625" bestFit="1" customWidth="1"/>
    <col min="10" max="10" width="11.33203125" bestFit="1" customWidth="1"/>
  </cols>
  <sheetData>
    <row r="1" spans="1:10" x14ac:dyDescent="0.3">
      <c r="A1" t="s">
        <v>14</v>
      </c>
      <c r="B1" t="s">
        <v>15</v>
      </c>
      <c r="C1" t="s">
        <v>16</v>
      </c>
      <c r="D1" t="s">
        <v>17</v>
      </c>
      <c r="E1" t="s">
        <v>22</v>
      </c>
      <c r="F1" t="s">
        <v>23</v>
      </c>
      <c r="G1" t="s">
        <v>24</v>
      </c>
    </row>
    <row r="2" spans="1:10" x14ac:dyDescent="0.3">
      <c r="A2" s="2">
        <v>0</v>
      </c>
      <c r="B2" s="2">
        <v>1</v>
      </c>
      <c r="C2" s="7">
        <f>A2/B2</f>
        <v>0</v>
      </c>
      <c r="D2" s="2">
        <f>4%</f>
        <v>0.04</v>
      </c>
      <c r="E2">
        <f>$J$3*(1+(1-$J$4)*C2)</f>
        <v>0.74748892359191088</v>
      </c>
      <c r="F2" s="3">
        <f>$J$5+E2*(MSFT_Monthly!$M$5-MSFT_WACC!$J$5)</f>
        <v>0.10529163415545306</v>
      </c>
      <c r="G2" s="10"/>
      <c r="I2" t="s">
        <v>18</v>
      </c>
      <c r="J2">
        <v>0.25</v>
      </c>
    </row>
    <row r="3" spans="1:10" x14ac:dyDescent="0.3">
      <c r="A3" s="2">
        <f>A2+1%</f>
        <v>0.01</v>
      </c>
      <c r="B3" s="2">
        <f>B2-0.01</f>
        <v>0.99</v>
      </c>
      <c r="C3" s="7">
        <f t="shared" ref="C3:C66" si="0">A3/B3</f>
        <v>1.0101010101010102E-2</v>
      </c>
      <c r="D3" s="8">
        <f>D2+0.1%</f>
        <v>4.1000000000000002E-2</v>
      </c>
      <c r="E3">
        <f t="shared" ref="E3:E66" si="1">$J$3*(1+(1-$J$4)*C3)</f>
        <v>0.75277419880922736</v>
      </c>
      <c r="F3" s="3">
        <f>$J$5+E3*(MSFT_Monthly!$M$5-MSFT_WACC!$J$5)</f>
        <v>0.10575329217473403</v>
      </c>
      <c r="G3" s="10"/>
      <c r="I3" t="s">
        <v>19</v>
      </c>
      <c r="J3" s="11">
        <f>MSFT_Monthly!M3/(1+(1-MSFT_WACC!J4)*MSFT_WACC!J2)</f>
        <v>0.74748892359191088</v>
      </c>
    </row>
    <row r="4" spans="1:10" x14ac:dyDescent="0.3">
      <c r="A4" s="2">
        <f t="shared" ref="A4:A67" si="2">A3+1%</f>
        <v>0.02</v>
      </c>
      <c r="B4" s="2">
        <f t="shared" ref="B4:B67" si="3">B3-0.01</f>
        <v>0.98</v>
      </c>
      <c r="C4" s="7">
        <f t="shared" si="0"/>
        <v>2.0408163265306124E-2</v>
      </c>
      <c r="D4" s="8">
        <f t="shared" ref="D4:D67" si="4">D3+0.1%</f>
        <v>4.2000000000000003E-2</v>
      </c>
      <c r="E4">
        <f t="shared" si="1"/>
        <v>0.75816733678608095</v>
      </c>
      <c r="F4" s="3">
        <f>$J$5+E4*(MSFT_Monthly!$M$5-MSFT_WACC!$J$5)</f>
        <v>0.10622437178624522</v>
      </c>
      <c r="G4" s="10"/>
      <c r="I4" t="s">
        <v>20</v>
      </c>
      <c r="J4" s="6">
        <v>0.3</v>
      </c>
    </row>
    <row r="5" spans="1:10" x14ac:dyDescent="0.3">
      <c r="A5" s="2">
        <f t="shared" si="2"/>
        <v>0.03</v>
      </c>
      <c r="B5" s="2">
        <f t="shared" si="3"/>
        <v>0.97</v>
      </c>
      <c r="C5" s="7">
        <f t="shared" si="0"/>
        <v>3.0927835051546393E-2</v>
      </c>
      <c r="D5" s="8">
        <f t="shared" si="4"/>
        <v>4.3000000000000003E-2</v>
      </c>
      <c r="E5">
        <f t="shared" si="1"/>
        <v>0.76367167348410681</v>
      </c>
      <c r="F5" s="3">
        <f>$J$5+E5*(MSFT_Monthly!$M$5-MSFT_WACC!$J$5)</f>
        <v>0.10670516437943708</v>
      </c>
      <c r="G5" s="10"/>
      <c r="I5" t="s">
        <v>21</v>
      </c>
      <c r="J5" s="2">
        <v>0.04</v>
      </c>
    </row>
    <row r="6" spans="1:10" x14ac:dyDescent="0.3">
      <c r="A6" s="2">
        <f t="shared" si="2"/>
        <v>0.04</v>
      </c>
      <c r="B6" s="2">
        <f t="shared" si="3"/>
        <v>0.96</v>
      </c>
      <c r="C6" s="7">
        <f t="shared" si="0"/>
        <v>4.1666666666666671E-2</v>
      </c>
      <c r="D6" s="8">
        <f t="shared" si="4"/>
        <v>4.4000000000000004E-2</v>
      </c>
      <c r="E6">
        <f t="shared" si="1"/>
        <v>0.76929068386334154</v>
      </c>
      <c r="F6" s="3">
        <f>$J$5+E6*(MSFT_Monthly!$M$5-MSFT_WACC!$J$5)</f>
        <v>0.10719597348498708</v>
      </c>
      <c r="G6" s="10"/>
      <c r="I6" s="4" t="s">
        <v>25</v>
      </c>
      <c r="J6" s="9"/>
    </row>
    <row r="7" spans="1:10" x14ac:dyDescent="0.3">
      <c r="A7" s="2">
        <f t="shared" si="2"/>
        <v>0.05</v>
      </c>
      <c r="B7" s="2">
        <f t="shared" si="3"/>
        <v>0.95</v>
      </c>
      <c r="C7" s="7">
        <f t="shared" si="0"/>
        <v>5.2631578947368425E-2</v>
      </c>
      <c r="D7" s="8">
        <f t="shared" si="4"/>
        <v>4.5000000000000005E-2</v>
      </c>
      <c r="E7">
        <f t="shared" si="1"/>
        <v>0.77502798919792859</v>
      </c>
      <c r="F7" s="3">
        <f>$J$5+E7*(MSFT_Monthly!$M$5-MSFT_WACC!$J$5)</f>
        <v>0.10769711541381186</v>
      </c>
      <c r="G7" s="10"/>
      <c r="I7" s="4" t="s">
        <v>26</v>
      </c>
      <c r="J7" s="5"/>
    </row>
    <row r="8" spans="1:10" x14ac:dyDescent="0.3">
      <c r="A8" s="2">
        <f t="shared" si="2"/>
        <v>6.0000000000000005E-2</v>
      </c>
      <c r="B8" s="2">
        <f t="shared" si="3"/>
        <v>0.94</v>
      </c>
      <c r="C8" s="7">
        <f t="shared" si="0"/>
        <v>6.3829787234042562E-2</v>
      </c>
      <c r="D8" s="8">
        <f t="shared" si="4"/>
        <v>4.6000000000000006E-2</v>
      </c>
      <c r="E8">
        <f t="shared" si="1"/>
        <v>0.78088736485878341</v>
      </c>
      <c r="F8" s="3">
        <f>$J$5+E8*(MSFT_Monthly!$M$5-MSFT_WACC!$J$5)</f>
        <v>0.1082089199368669</v>
      </c>
      <c r="G8" s="10"/>
    </row>
    <row r="9" spans="1:10" x14ac:dyDescent="0.3">
      <c r="A9" s="2">
        <f t="shared" si="2"/>
        <v>7.0000000000000007E-2</v>
      </c>
      <c r="B9" s="2">
        <f t="shared" si="3"/>
        <v>0.92999999999999994</v>
      </c>
      <c r="C9" s="7">
        <f t="shared" si="0"/>
        <v>7.5268817204301092E-2</v>
      </c>
      <c r="D9" s="8">
        <f t="shared" si="4"/>
        <v>4.7000000000000007E-2</v>
      </c>
      <c r="E9">
        <f t="shared" si="1"/>
        <v>0.78687274859836642</v>
      </c>
      <c r="F9" s="3">
        <f>$J$5+E9*(MSFT_Monthly!$M$5-MSFT_WACC!$J$5)</f>
        <v>0.10873173100880487</v>
      </c>
      <c r="G9" s="10"/>
    </row>
    <row r="10" spans="1:10" x14ac:dyDescent="0.3">
      <c r="A10" s="2">
        <f t="shared" si="2"/>
        <v>0.08</v>
      </c>
      <c r="B10" s="2">
        <f t="shared" si="3"/>
        <v>0.91999999999999993</v>
      </c>
      <c r="C10" s="7">
        <f t="shared" si="0"/>
        <v>8.6956521739130446E-2</v>
      </c>
      <c r="D10" s="8">
        <f t="shared" si="4"/>
        <v>4.8000000000000008E-2</v>
      </c>
      <c r="E10">
        <f t="shared" si="1"/>
        <v>0.7929882493757664</v>
      </c>
      <c r="F10" s="3">
        <f>$J$5+E10*(MSFT_Monthly!$M$5-MSFT_WACC!$J$5)</f>
        <v>0.10926590753882845</v>
      </c>
      <c r="G10" s="10"/>
    </row>
    <row r="11" spans="1:10" x14ac:dyDescent="0.3">
      <c r="A11" s="2">
        <f t="shared" si="2"/>
        <v>0.09</v>
      </c>
      <c r="B11" s="2">
        <f t="shared" si="3"/>
        <v>0.90999999999999992</v>
      </c>
      <c r="C11" s="7">
        <f t="shared" si="0"/>
        <v>9.8901098901098911E-2</v>
      </c>
      <c r="D11" s="8">
        <f t="shared" si="4"/>
        <v>4.9000000000000009E-2</v>
      </c>
      <c r="E11">
        <f t="shared" si="1"/>
        <v>0.7992381567636585</v>
      </c>
      <c r="F11" s="3">
        <f>$J$5+E11*(MSFT_Monthly!$M$5-MSFT_WACC!$J$5)</f>
        <v>0.10981182421236901</v>
      </c>
      <c r="G11" s="10"/>
    </row>
    <row r="12" spans="1:10" x14ac:dyDescent="0.3">
      <c r="A12" s="2">
        <f t="shared" si="2"/>
        <v>9.9999999999999992E-2</v>
      </c>
      <c r="B12" s="2">
        <f t="shared" si="3"/>
        <v>0.89999999999999991</v>
      </c>
      <c r="C12" s="7">
        <f t="shared" si="0"/>
        <v>0.11111111111111112</v>
      </c>
      <c r="D12" s="8">
        <f t="shared" si="4"/>
        <v>5.000000000000001E-2</v>
      </c>
      <c r="E12">
        <f t="shared" si="1"/>
        <v>0.80562695098239279</v>
      </c>
      <c r="F12" s="3">
        <f>$J$5+E12*(MSFT_Monthly!$M$5-MSFT_WACC!$J$5)</f>
        <v>0.11036987236754384</v>
      </c>
      <c r="G12" s="10"/>
    </row>
    <row r="13" spans="1:10" x14ac:dyDescent="0.3">
      <c r="A13" s="2">
        <f t="shared" si="2"/>
        <v>0.10999999999999999</v>
      </c>
      <c r="B13" s="2">
        <f t="shared" si="3"/>
        <v>0.8899999999999999</v>
      </c>
      <c r="C13" s="7">
        <f t="shared" si="0"/>
        <v>0.12359550561797752</v>
      </c>
      <c r="D13" s="8">
        <f t="shared" si="4"/>
        <v>5.1000000000000011E-2</v>
      </c>
      <c r="E13">
        <f t="shared" si="1"/>
        <v>0.81215931361053684</v>
      </c>
      <c r="F13" s="3">
        <f>$J$5+E13*(MSFT_Monthly!$M$5-MSFT_WACC!$J$5)</f>
        <v>0.11094046093070012</v>
      </c>
      <c r="G13" s="10"/>
    </row>
    <row r="14" spans="1:10" x14ac:dyDescent="0.3">
      <c r="A14" s="2">
        <f t="shared" si="2"/>
        <v>0.11999999999999998</v>
      </c>
      <c r="B14" s="2">
        <f t="shared" si="3"/>
        <v>0.87999999999999989</v>
      </c>
      <c r="C14" s="7">
        <f t="shared" si="0"/>
        <v>0.13636363636363635</v>
      </c>
      <c r="D14" s="8">
        <f t="shared" si="4"/>
        <v>5.2000000000000011E-2</v>
      </c>
      <c r="E14">
        <f t="shared" si="1"/>
        <v>0.8188401390256842</v>
      </c>
      <c r="F14" s="3">
        <f>$J$5+E14*(MSFT_Monthly!$M$5-MSFT_WACC!$J$5)</f>
        <v>0.1115240174157463</v>
      </c>
      <c r="G14" s="10"/>
    </row>
    <row r="15" spans="1:10" x14ac:dyDescent="0.3">
      <c r="A15" s="2">
        <f t="shared" si="2"/>
        <v>0.12999999999999998</v>
      </c>
      <c r="B15" s="2">
        <f t="shared" si="3"/>
        <v>0.86999999999999988</v>
      </c>
      <c r="C15" s="7">
        <f t="shared" si="0"/>
        <v>0.14942528735632182</v>
      </c>
      <c r="D15" s="8">
        <f t="shared" si="4"/>
        <v>5.3000000000000012E-2</v>
      </c>
      <c r="E15">
        <f t="shared" si="1"/>
        <v>0.82567454663428308</v>
      </c>
      <c r="F15" s="3">
        <f>$J$5+E15*(MSFT_Monthly!$M$5-MSFT_WACC!$J$5)</f>
        <v>0.11212098899240272</v>
      </c>
      <c r="G15" s="10"/>
    </row>
    <row r="16" spans="1:10" x14ac:dyDescent="0.3">
      <c r="A16" s="2">
        <f t="shared" si="2"/>
        <v>0.13999999999999999</v>
      </c>
      <c r="B16" s="2">
        <f t="shared" si="3"/>
        <v>0.85999999999999988</v>
      </c>
      <c r="C16" s="7">
        <f t="shared" si="0"/>
        <v>0.16279069767441862</v>
      </c>
      <c r="D16" s="8">
        <f t="shared" si="4"/>
        <v>5.4000000000000013E-2</v>
      </c>
      <c r="E16">
        <f t="shared" si="1"/>
        <v>0.83266789395470997</v>
      </c>
      <c r="F16" s="3">
        <f>$J$5+E16*(MSFT_Monthly!$M$5-MSFT_WACC!$J$5)</f>
        <v>0.11273184362898142</v>
      </c>
      <c r="G16" s="10"/>
    </row>
    <row r="17" spans="1:7" x14ac:dyDescent="0.3">
      <c r="A17" s="2">
        <f t="shared" si="2"/>
        <v>0.15</v>
      </c>
      <c r="B17" s="2">
        <f t="shared" si="3"/>
        <v>0.84999999999999987</v>
      </c>
      <c r="C17" s="7">
        <f t="shared" si="0"/>
        <v>0.17647058823529413</v>
      </c>
      <c r="D17" s="8">
        <f t="shared" si="4"/>
        <v>5.5000000000000014E-2</v>
      </c>
      <c r="E17">
        <f t="shared" si="1"/>
        <v>0.83982579062385276</v>
      </c>
      <c r="F17" s="3">
        <f>$J$5+E17*(MSFT_Monthly!$M$5-MSFT_WACC!$J$5)</f>
        <v>0.11335707131583253</v>
      </c>
      <c r="G17" s="10"/>
    </row>
    <row r="18" spans="1:7" x14ac:dyDescent="0.3">
      <c r="A18" s="2">
        <f t="shared" si="2"/>
        <v>0.16</v>
      </c>
      <c r="B18" s="2">
        <f t="shared" si="3"/>
        <v>0.83999999999999986</v>
      </c>
      <c r="C18" s="7">
        <f t="shared" si="0"/>
        <v>0.19047619047619052</v>
      </c>
      <c r="D18" s="8">
        <f t="shared" si="4"/>
        <v>5.6000000000000015E-2</v>
      </c>
      <c r="E18">
        <f t="shared" si="1"/>
        <v>0.84715411340416569</v>
      </c>
      <c r="F18" s="3">
        <f>$J$5+E18*(MSFT_Monthly!$M$5-MSFT_WACC!$J$5)</f>
        <v>0.11399718537618012</v>
      </c>
      <c r="G18" s="10"/>
    </row>
    <row r="19" spans="1:7" x14ac:dyDescent="0.3">
      <c r="A19" s="2">
        <f t="shared" si="2"/>
        <v>0.17</v>
      </c>
      <c r="B19" s="2">
        <f t="shared" si="3"/>
        <v>0.82999999999999985</v>
      </c>
      <c r="C19" s="7">
        <f t="shared" si="0"/>
        <v>0.20481927710843378</v>
      </c>
      <c r="D19" s="8">
        <f t="shared" si="4"/>
        <v>5.7000000000000016E-2</v>
      </c>
      <c r="E19">
        <f t="shared" si="1"/>
        <v>0.85465902227557045</v>
      </c>
      <c r="F19" s="3">
        <f>$J$5+E19*(MSFT_Monthly!$M$5-MSFT_WACC!$J$5)</f>
        <v>0.11465272387171679</v>
      </c>
      <c r="G19" s="10"/>
    </row>
    <row r="20" spans="1:7" x14ac:dyDescent="0.3">
      <c r="A20" s="2">
        <f t="shared" si="2"/>
        <v>0.18000000000000002</v>
      </c>
      <c r="B20" s="2">
        <f t="shared" si="3"/>
        <v>0.81999999999999984</v>
      </c>
      <c r="C20" s="7">
        <f t="shared" si="0"/>
        <v>0.21951219512195128</v>
      </c>
      <c r="D20" s="8">
        <f t="shared" si="4"/>
        <v>5.8000000000000017E-2</v>
      </c>
      <c r="E20">
        <f t="shared" si="1"/>
        <v>0.86234697770481439</v>
      </c>
      <c r="F20" s="3">
        <f>$J$5+E20*(MSFT_Monthly!$M$5-MSFT_WACC!$J$5)</f>
        <v>0.11532425111104708</v>
      </c>
      <c r="G20" s="10"/>
    </row>
    <row r="21" spans="1:7" x14ac:dyDescent="0.3">
      <c r="A21" s="2">
        <f t="shared" si="2"/>
        <v>0.19000000000000003</v>
      </c>
      <c r="B21" s="2">
        <f t="shared" si="3"/>
        <v>0.80999999999999983</v>
      </c>
      <c r="C21" s="7">
        <f t="shared" si="0"/>
        <v>0.234567901234568</v>
      </c>
      <c r="D21" s="8">
        <f t="shared" si="4"/>
        <v>5.9000000000000018E-2</v>
      </c>
      <c r="E21">
        <f t="shared" si="1"/>
        <v>0.87022475919403952</v>
      </c>
      <c r="F21" s="3">
        <f>$J$5+E21*(MSFT_Monthly!$M$5-MSFT_WACC!$J$5)</f>
        <v>0.11601235926986694</v>
      </c>
      <c r="G21" s="10"/>
    </row>
    <row r="22" spans="1:7" x14ac:dyDescent="0.3">
      <c r="A22" s="2">
        <f t="shared" si="2"/>
        <v>0.20000000000000004</v>
      </c>
      <c r="B22" s="2">
        <f t="shared" si="3"/>
        <v>0.79999999999999982</v>
      </c>
      <c r="C22" s="7">
        <f t="shared" si="0"/>
        <v>0.25000000000000011</v>
      </c>
      <c r="D22" s="8">
        <f t="shared" si="4"/>
        <v>6.0000000000000019E-2</v>
      </c>
      <c r="E22">
        <f t="shared" si="1"/>
        <v>0.87829948522049528</v>
      </c>
      <c r="F22" s="3">
        <f>$J$5+E22*(MSFT_Monthly!$M$5-MSFT_WACC!$J$5)</f>
        <v>0.11671767013265733</v>
      </c>
      <c r="G22" s="10"/>
    </row>
    <row r="23" spans="1:7" x14ac:dyDescent="0.3">
      <c r="A23" s="2">
        <f t="shared" si="2"/>
        <v>0.21000000000000005</v>
      </c>
      <c r="B23" s="2">
        <f t="shared" si="3"/>
        <v>0.78999999999999981</v>
      </c>
      <c r="C23" s="7">
        <f t="shared" si="0"/>
        <v>0.26582278481012672</v>
      </c>
      <c r="D23" s="8">
        <f t="shared" si="4"/>
        <v>6.1000000000000019E-2</v>
      </c>
      <c r="E23">
        <f t="shared" si="1"/>
        <v>0.8865786346906589</v>
      </c>
      <c r="F23" s="3">
        <f>$J$5+E23*(MSFT_Monthly!$M$5-MSFT_WACC!$J$5)</f>
        <v>0.11744083696665761</v>
      </c>
      <c r="G23" s="10"/>
    </row>
    <row r="24" spans="1:7" x14ac:dyDescent="0.3">
      <c r="A24" s="2">
        <f t="shared" si="2"/>
        <v>0.22000000000000006</v>
      </c>
      <c r="B24" s="2">
        <f t="shared" si="3"/>
        <v>0.7799999999999998</v>
      </c>
      <c r="C24" s="7">
        <f t="shared" si="0"/>
        <v>0.28205128205128221</v>
      </c>
      <c r="D24" s="8">
        <f t="shared" si="4"/>
        <v>6.200000000000002E-2</v>
      </c>
      <c r="E24">
        <f t="shared" si="1"/>
        <v>0.89507007004467287</v>
      </c>
      <c r="F24" s="3">
        <f>$J$5+E24*(MSFT_Monthly!$M$5-MSFT_WACC!$J$5)</f>
        <v>0.11818254653999122</v>
      </c>
      <c r="G24" s="10"/>
    </row>
    <row r="25" spans="1:7" x14ac:dyDescent="0.3">
      <c r="A25" s="2">
        <f t="shared" si="2"/>
        <v>0.23000000000000007</v>
      </c>
      <c r="B25" s="2">
        <f t="shared" si="3"/>
        <v>0.7699999999999998</v>
      </c>
      <c r="C25" s="7">
        <f t="shared" si="0"/>
        <v>0.29870129870129886</v>
      </c>
      <c r="D25" s="8">
        <f t="shared" si="4"/>
        <v>6.3000000000000014E-2</v>
      </c>
      <c r="E25">
        <f t="shared" si="1"/>
        <v>0.90378206216112866</v>
      </c>
      <c r="F25" s="3">
        <f>$J$5+E25*(MSFT_Monthly!$M$5-MSFT_WACC!$J$5)</f>
        <v>0.11894352129704777</v>
      </c>
      <c r="G25" s="10"/>
    </row>
    <row r="26" spans="1:7" x14ac:dyDescent="0.3">
      <c r="A26" s="2">
        <f t="shared" si="2"/>
        <v>0.24000000000000007</v>
      </c>
      <c r="B26" s="2">
        <f t="shared" si="3"/>
        <v>0.75999999999999979</v>
      </c>
      <c r="C26" s="7">
        <f t="shared" si="0"/>
        <v>0.31578947368421073</v>
      </c>
      <c r="D26" s="8">
        <f t="shared" si="4"/>
        <v>6.4000000000000015E-2</v>
      </c>
      <c r="E26">
        <f t="shared" si="1"/>
        <v>0.91272331722801769</v>
      </c>
      <c r="F26" s="3">
        <f>$J$5+E26*(MSFT_Monthly!$M$5-MSFT_WACC!$J$5)</f>
        <v>0.11972452170560585</v>
      </c>
      <c r="G26" s="10"/>
    </row>
    <row r="27" spans="1:7" x14ac:dyDescent="0.3">
      <c r="A27" s="2">
        <f t="shared" si="2"/>
        <v>0.25000000000000006</v>
      </c>
      <c r="B27" s="2">
        <f t="shared" si="3"/>
        <v>0.74999999999999978</v>
      </c>
      <c r="C27" s="7">
        <f t="shared" si="0"/>
        <v>0.33333333333333348</v>
      </c>
      <c r="D27" s="8">
        <f t="shared" si="4"/>
        <v>6.5000000000000016E-2</v>
      </c>
      <c r="E27">
        <f t="shared" si="1"/>
        <v>0.92190300576335682</v>
      </c>
      <c r="F27" s="3">
        <f>$J$5+E27*(MSFT_Monthly!$M$5-MSFT_WACC!$J$5)</f>
        <v>0.12052634879172544</v>
      </c>
      <c r="G27" s="10"/>
    </row>
    <row r="28" spans="1:7" x14ac:dyDescent="0.3">
      <c r="A28" s="2">
        <f t="shared" si="2"/>
        <v>0.26000000000000006</v>
      </c>
      <c r="B28" s="2">
        <f t="shared" si="3"/>
        <v>0.73999999999999977</v>
      </c>
      <c r="C28" s="7">
        <f t="shared" si="0"/>
        <v>0.35135135135135154</v>
      </c>
      <c r="D28" s="8">
        <f t="shared" si="4"/>
        <v>6.6000000000000017E-2</v>
      </c>
      <c r="E28">
        <f t="shared" si="1"/>
        <v>0.93133079398884044</v>
      </c>
      <c r="F28" s="3">
        <f>$J$5+E28*(MSFT_Monthly!$M$5-MSFT_WACC!$J$5)</f>
        <v>0.12134984688017258</v>
      </c>
      <c r="G28" s="10"/>
    </row>
    <row r="29" spans="1:7" x14ac:dyDescent="0.3">
      <c r="A29" s="2">
        <f t="shared" si="2"/>
        <v>0.27000000000000007</v>
      </c>
      <c r="B29" s="2">
        <f t="shared" si="3"/>
        <v>0.72999999999999976</v>
      </c>
      <c r="C29" s="7">
        <f t="shared" si="0"/>
        <v>0.36986301369863034</v>
      </c>
      <c r="D29" s="8">
        <f t="shared" si="4"/>
        <v>6.7000000000000018E-2</v>
      </c>
      <c r="E29">
        <f t="shared" si="1"/>
        <v>0.94101687778214538</v>
      </c>
      <c r="F29" s="3">
        <f>$J$5+E29*(MSFT_Monthly!$M$5-MSFT_WACC!$J$5)</f>
        <v>0.12219590656008406</v>
      </c>
      <c r="G29" s="10"/>
    </row>
    <row r="30" spans="1:7" x14ac:dyDescent="0.3">
      <c r="A30" s="2">
        <f t="shared" si="2"/>
        <v>0.28000000000000008</v>
      </c>
      <c r="B30" s="2">
        <f t="shared" si="3"/>
        <v>0.71999999999999975</v>
      </c>
      <c r="C30" s="7">
        <f t="shared" si="0"/>
        <v>0.38888888888888912</v>
      </c>
      <c r="D30" s="8">
        <f t="shared" si="4"/>
        <v>6.8000000000000019E-2</v>
      </c>
      <c r="E30">
        <f t="shared" si="1"/>
        <v>0.95097201945859788</v>
      </c>
      <c r="F30" s="3">
        <f>$J$5+E30*(MSFT_Monthly!$M$5-MSFT_WACC!$J$5)</f>
        <v>0.12306546789777084</v>
      </c>
      <c r="G30" s="10"/>
    </row>
    <row r="31" spans="1:7" x14ac:dyDescent="0.3">
      <c r="A31" s="2">
        <f t="shared" si="2"/>
        <v>0.29000000000000009</v>
      </c>
      <c r="B31" s="2">
        <f t="shared" si="3"/>
        <v>0.70999999999999974</v>
      </c>
      <c r="C31" s="7">
        <f t="shared" si="0"/>
        <v>0.4084507042253524</v>
      </c>
      <c r="D31" s="8">
        <f t="shared" si="4"/>
        <v>6.900000000000002E-2</v>
      </c>
      <c r="E31">
        <f t="shared" si="1"/>
        <v>0.96120758766114756</v>
      </c>
      <c r="F31" s="3">
        <f>$J$5+E31*(MSFT_Monthly!$M$5-MSFT_WACC!$J$5)</f>
        <v>0.12395952392102627</v>
      </c>
      <c r="G31" s="10"/>
    </row>
    <row r="32" spans="1:7" x14ac:dyDescent="0.3">
      <c r="A32" s="2">
        <f t="shared" si="2"/>
        <v>0.3000000000000001</v>
      </c>
      <c r="B32" s="2">
        <f t="shared" si="3"/>
        <v>0.69999999999999973</v>
      </c>
      <c r="C32" s="7">
        <f t="shared" si="0"/>
        <v>0.42857142857142888</v>
      </c>
      <c r="D32" s="8">
        <f t="shared" si="4"/>
        <v>7.0000000000000021E-2</v>
      </c>
      <c r="E32">
        <f t="shared" si="1"/>
        <v>0.97173560066948439</v>
      </c>
      <c r="F32" s="3">
        <f>$J$5+E32*(MSFT_Monthly!$M$5-MSFT_WACC!$J$5)</f>
        <v>0.12487912440208898</v>
      </c>
      <c r="G32" s="10"/>
    </row>
    <row r="33" spans="1:7" x14ac:dyDescent="0.3">
      <c r="A33" s="2">
        <f t="shared" si="2"/>
        <v>0.31000000000000011</v>
      </c>
      <c r="B33" s="2">
        <f t="shared" si="3"/>
        <v>0.68999999999999972</v>
      </c>
      <c r="C33" s="7">
        <f t="shared" si="0"/>
        <v>0.44927536231884091</v>
      </c>
      <c r="D33" s="8">
        <f t="shared" si="4"/>
        <v>7.1000000000000021E-2</v>
      </c>
      <c r="E33">
        <f t="shared" si="1"/>
        <v>0.98256877347516425</v>
      </c>
      <c r="F33" s="3">
        <f>$J$5+E33*(MSFT_Monthly!$M$5-MSFT_WACC!$J$5)</f>
        <v>0.12582537996955931</v>
      </c>
      <c r="G33" s="10"/>
    </row>
    <row r="34" spans="1:7" x14ac:dyDescent="0.3">
      <c r="A34" s="2">
        <f t="shared" si="2"/>
        <v>0.32000000000000012</v>
      </c>
      <c r="B34" s="2">
        <f t="shared" si="3"/>
        <v>0.67999999999999972</v>
      </c>
      <c r="C34" s="7">
        <f t="shared" si="0"/>
        <v>0.47058823529411803</v>
      </c>
      <c r="D34" s="8">
        <f t="shared" si="4"/>
        <v>7.2000000000000022E-2</v>
      </c>
      <c r="E34">
        <f t="shared" si="1"/>
        <v>0.99372056901042283</v>
      </c>
      <c r="F34" s="3">
        <f>$J$5+E34*(MSFT_Monthly!$M$5-MSFT_WACC!$J$5)</f>
        <v>0.12679946658313171</v>
      </c>
      <c r="G34" s="10"/>
    </row>
    <row r="35" spans="1:7" x14ac:dyDescent="0.3">
      <c r="A35" s="2">
        <f t="shared" si="2"/>
        <v>0.33000000000000013</v>
      </c>
      <c r="B35" s="2">
        <f t="shared" si="3"/>
        <v>0.66999999999999971</v>
      </c>
      <c r="C35" s="7">
        <f t="shared" si="0"/>
        <v>0.49253731343283624</v>
      </c>
      <c r="D35" s="8">
        <f t="shared" si="4"/>
        <v>7.3000000000000023E-2</v>
      </c>
      <c r="E35">
        <f t="shared" si="1"/>
        <v>1.0052052539646446</v>
      </c>
      <c r="F35" s="3">
        <f>$J$5+E35*(MSFT_Monthly!$M$5-MSFT_WACC!$J$5)</f>
        <v>0.12780263040904957</v>
      </c>
      <c r="G35" s="10"/>
    </row>
    <row r="36" spans="1:7" x14ac:dyDescent="0.3">
      <c r="A36" s="2">
        <f t="shared" si="2"/>
        <v>0.34000000000000014</v>
      </c>
      <c r="B36" s="2">
        <f t="shared" si="3"/>
        <v>0.6599999999999997</v>
      </c>
      <c r="C36" s="7">
        <f t="shared" si="0"/>
        <v>0.51515151515151558</v>
      </c>
      <c r="D36" s="8">
        <f t="shared" si="4"/>
        <v>7.4000000000000024E-2</v>
      </c>
      <c r="E36">
        <f t="shared" si="1"/>
        <v>1.0170379596750547</v>
      </c>
      <c r="F36" s="3">
        <f>$J$5+E36*(MSFT_Monthly!$M$5-MSFT_WACC!$J$5)</f>
        <v>0.12883619313878311</v>
      </c>
      <c r="G36" s="10"/>
    </row>
    <row r="37" spans="1:7" x14ac:dyDescent="0.3">
      <c r="A37" s="2">
        <f t="shared" si="2"/>
        <v>0.35000000000000014</v>
      </c>
      <c r="B37" s="2">
        <f t="shared" si="3"/>
        <v>0.64999999999999969</v>
      </c>
      <c r="C37" s="7">
        <f t="shared" si="0"/>
        <v>0.53846153846153899</v>
      </c>
      <c r="D37" s="8">
        <f t="shared" si="4"/>
        <v>7.5000000000000025E-2</v>
      </c>
      <c r="E37">
        <f t="shared" si="1"/>
        <v>1.0292347486380931</v>
      </c>
      <c r="F37" s="3">
        <f>$J$5+E37*(MSFT_Monthly!$M$5-MSFT_WACC!$J$5)</f>
        <v>0.1299015577986623</v>
      </c>
      <c r="G37" s="10"/>
    </row>
    <row r="38" spans="1:7" x14ac:dyDescent="0.3">
      <c r="A38" s="2">
        <f t="shared" si="2"/>
        <v>0.36000000000000015</v>
      </c>
      <c r="B38" s="2">
        <f t="shared" si="3"/>
        <v>0.63999999999999968</v>
      </c>
      <c r="C38" s="7">
        <f t="shared" si="0"/>
        <v>0.56250000000000056</v>
      </c>
      <c r="D38" s="8">
        <f t="shared" si="4"/>
        <v>7.6000000000000026E-2</v>
      </c>
      <c r="E38">
        <f t="shared" si="1"/>
        <v>1.0418126872562259</v>
      </c>
      <c r="F38" s="3">
        <f>$J$5+E38*(MSFT_Monthly!$M$5-MSFT_WACC!$J$5)</f>
        <v>0.13100021510416271</v>
      </c>
      <c r="G38" s="10"/>
    </row>
    <row r="39" spans="1:7" x14ac:dyDescent="0.3">
      <c r="A39" s="2">
        <f t="shared" si="2"/>
        <v>0.37000000000000016</v>
      </c>
      <c r="B39" s="2">
        <f t="shared" si="3"/>
        <v>0.62999999999999967</v>
      </c>
      <c r="C39" s="7">
        <f t="shared" si="0"/>
        <v>0.58730158730158788</v>
      </c>
      <c r="D39" s="8">
        <f t="shared" si="4"/>
        <v>7.7000000000000027E-2</v>
      </c>
      <c r="E39">
        <f t="shared" si="1"/>
        <v>1.05478992551303</v>
      </c>
      <c r="F39" s="3">
        <f>$J$5+E39*(MSFT_Monthly!$M$5-MSFT_WACC!$J$5)</f>
        <v>0.13213375041936154</v>
      </c>
      <c r="G39" s="10"/>
    </row>
    <row r="40" spans="1:7" x14ac:dyDescent="0.3">
      <c r="A40" s="2">
        <f t="shared" si="2"/>
        <v>0.38000000000000017</v>
      </c>
      <c r="B40" s="2">
        <f t="shared" si="3"/>
        <v>0.61999999999999966</v>
      </c>
      <c r="C40" s="7">
        <f t="shared" si="0"/>
        <v>0.61290322580645218</v>
      </c>
      <c r="D40" s="8">
        <f t="shared" si="4"/>
        <v>7.8000000000000028E-2</v>
      </c>
      <c r="E40">
        <f t="shared" si="1"/>
        <v>1.0681857843587632</v>
      </c>
      <c r="F40" s="3">
        <f>$J$5+E40*(MSFT_Monthly!$M$5-MSFT_WACC!$J$5)</f>
        <v>0.13330385138988937</v>
      </c>
      <c r="G40" s="10"/>
    </row>
    <row r="41" spans="1:7" x14ac:dyDescent="0.3">
      <c r="A41" s="2">
        <f t="shared" si="2"/>
        <v>0.39000000000000018</v>
      </c>
      <c r="B41" s="2">
        <f t="shared" si="3"/>
        <v>0.60999999999999965</v>
      </c>
      <c r="C41" s="7">
        <f t="shared" si="0"/>
        <v>0.63934426229508268</v>
      </c>
      <c r="D41" s="8">
        <f t="shared" si="4"/>
        <v>7.9000000000000029E-2</v>
      </c>
      <c r="E41">
        <f t="shared" si="1"/>
        <v>1.0820208516912417</v>
      </c>
      <c r="F41" s="3">
        <f>$J$5+E41*(MSFT_Monthly!$M$5-MSFT_WACC!$J$5)</f>
        <v>0.13451231632666402</v>
      </c>
      <c r="G41" s="10"/>
    </row>
    <row r="42" spans="1:7" x14ac:dyDescent="0.3">
      <c r="A42" s="2">
        <f t="shared" si="2"/>
        <v>0.40000000000000019</v>
      </c>
      <c r="B42" s="2">
        <f t="shared" si="3"/>
        <v>0.59999999999999964</v>
      </c>
      <c r="C42" s="7">
        <f t="shared" si="0"/>
        <v>0.66666666666666741</v>
      </c>
      <c r="D42" s="8">
        <f t="shared" si="4"/>
        <v>8.0000000000000029E-2</v>
      </c>
      <c r="E42">
        <f t="shared" si="1"/>
        <v>1.096317087934803</v>
      </c>
      <c r="F42" s="3">
        <f>$J$5+E42*(MSFT_Monthly!$M$5-MSFT_WACC!$J$5)</f>
        <v>0.13576106342799785</v>
      </c>
      <c r="G42" s="10"/>
    </row>
    <row r="43" spans="1:7" x14ac:dyDescent="0.3">
      <c r="A43" s="2">
        <f t="shared" si="2"/>
        <v>0.4100000000000002</v>
      </c>
      <c r="B43" s="2">
        <f t="shared" si="3"/>
        <v>0.58999999999999964</v>
      </c>
      <c r="C43" s="7">
        <f t="shared" si="0"/>
        <v>0.69491525423728895</v>
      </c>
      <c r="D43" s="8">
        <f t="shared" si="4"/>
        <v>8.100000000000003E-2</v>
      </c>
      <c r="E43">
        <f t="shared" si="1"/>
        <v>1.111097942356112</v>
      </c>
      <c r="F43" s="3">
        <f>$J$5+E43*(MSFT_Monthly!$M$5-MSFT_WACC!$J$5)</f>
        <v>0.13705214093954635</v>
      </c>
      <c r="G43" s="10"/>
    </row>
    <row r="44" spans="1:7" x14ac:dyDescent="0.3">
      <c r="A44" s="2">
        <f t="shared" si="2"/>
        <v>0.42000000000000021</v>
      </c>
      <c r="B44" s="2">
        <f t="shared" si="3"/>
        <v>0.57999999999999963</v>
      </c>
      <c r="C44" s="7">
        <f t="shared" si="0"/>
        <v>0.72413793103448354</v>
      </c>
      <c r="D44" s="8">
        <f t="shared" si="4"/>
        <v>8.2000000000000031E-2</v>
      </c>
      <c r="E44">
        <f t="shared" si="1"/>
        <v>1.1263884814126386</v>
      </c>
      <c r="F44" s="3">
        <f>$J$5+E44*(MSFT_Monthly!$M$5-MSFT_WACC!$J$5)</f>
        <v>0.1383877383652862</v>
      </c>
      <c r="G44" s="10"/>
    </row>
    <row r="45" spans="1:7" x14ac:dyDescent="0.3">
      <c r="A45" s="2">
        <f t="shared" si="2"/>
        <v>0.43000000000000022</v>
      </c>
      <c r="B45" s="2">
        <f t="shared" si="3"/>
        <v>0.56999999999999962</v>
      </c>
      <c r="C45" s="7">
        <f t="shared" si="0"/>
        <v>0.7543859649122816</v>
      </c>
      <c r="D45" s="8">
        <f t="shared" si="4"/>
        <v>8.3000000000000032E-2</v>
      </c>
      <c r="E45">
        <f t="shared" si="1"/>
        <v>1.1422155306114994</v>
      </c>
      <c r="F45" s="3">
        <f>$J$5+E45*(MSFT_Monthly!$M$5-MSFT_WACC!$J$5)</f>
        <v>0.13977019885859585</v>
      </c>
      <c r="G45" s="10"/>
    </row>
    <row r="46" spans="1:7" x14ac:dyDescent="0.3">
      <c r="A46" s="2">
        <f t="shared" si="2"/>
        <v>0.44000000000000022</v>
      </c>
      <c r="B46" s="2">
        <f t="shared" si="3"/>
        <v>0.55999999999999961</v>
      </c>
      <c r="C46" s="7">
        <f t="shared" si="0"/>
        <v>0.7857142857142867</v>
      </c>
      <c r="D46" s="8">
        <f t="shared" si="4"/>
        <v>8.4000000000000033E-2</v>
      </c>
      <c r="E46">
        <f t="shared" si="1"/>
        <v>1.1586078315674624</v>
      </c>
      <c r="F46" s="3">
        <f>$J$5+E46*(MSFT_Monthly!$M$5-MSFT_WACC!$J$5)</f>
        <v>0.14120203294095227</v>
      </c>
      <c r="G46" s="10"/>
    </row>
    <row r="47" spans="1:7" x14ac:dyDescent="0.3">
      <c r="A47" s="2">
        <f t="shared" si="2"/>
        <v>0.45000000000000023</v>
      </c>
      <c r="B47" s="2">
        <f t="shared" si="3"/>
        <v>0.5499999999999996</v>
      </c>
      <c r="C47" s="7">
        <f t="shared" si="0"/>
        <v>0.81818181818181923</v>
      </c>
      <c r="D47" s="8">
        <f t="shared" si="4"/>
        <v>8.5000000000000034E-2</v>
      </c>
      <c r="E47">
        <f t="shared" si="1"/>
        <v>1.1755962161945512</v>
      </c>
      <c r="F47" s="3">
        <f>$J$5+E47*(MSFT_Monthly!$M$5-MSFT_WACC!$J$5)</f>
        <v>0.14268593371721255</v>
      </c>
      <c r="G47" s="10"/>
    </row>
    <row r="48" spans="1:7" x14ac:dyDescent="0.3">
      <c r="A48" s="2">
        <f t="shared" si="2"/>
        <v>0.46000000000000024</v>
      </c>
      <c r="B48" s="2">
        <f t="shared" si="3"/>
        <v>0.53999999999999959</v>
      </c>
      <c r="C48" s="7">
        <f t="shared" si="0"/>
        <v>0.85185185185185297</v>
      </c>
      <c r="D48" s="8">
        <f t="shared" si="4"/>
        <v>8.6000000000000035E-2</v>
      </c>
      <c r="E48">
        <f t="shared" si="1"/>
        <v>1.193213800252273</v>
      </c>
      <c r="F48" s="3">
        <f>$J$5+E48*(MSFT_Monthly!$M$5-MSFT_WACC!$J$5)</f>
        <v>0.14422479378148251</v>
      </c>
      <c r="G48" s="10"/>
    </row>
    <row r="49" spans="1:7" x14ac:dyDescent="0.3">
      <c r="A49" s="2">
        <f t="shared" si="2"/>
        <v>0.47000000000000025</v>
      </c>
      <c r="B49" s="2">
        <f t="shared" si="3"/>
        <v>0.52999999999999958</v>
      </c>
      <c r="C49" s="7">
        <f t="shared" si="0"/>
        <v>0.88679245283018981</v>
      </c>
      <c r="D49" s="8">
        <f t="shared" si="4"/>
        <v>8.7000000000000036E-2</v>
      </c>
      <c r="E49">
        <f t="shared" si="1"/>
        <v>1.2114961988027393</v>
      </c>
      <c r="F49" s="3">
        <f>$J$5+E49*(MSFT_Monthly!$M$5-MSFT_WACC!$J$5)</f>
        <v>0.14582172403685698</v>
      </c>
      <c r="G49" s="10"/>
    </row>
    <row r="50" spans="1:7" x14ac:dyDescent="0.3">
      <c r="A50" s="2">
        <f t="shared" si="2"/>
        <v>0.48000000000000026</v>
      </c>
      <c r="B50" s="2">
        <f t="shared" si="3"/>
        <v>0.51999999999999957</v>
      </c>
      <c r="C50" s="7">
        <f t="shared" si="0"/>
        <v>0.92307692307692435</v>
      </c>
      <c r="D50" s="8">
        <f t="shared" si="4"/>
        <v>8.8000000000000037E-2</v>
      </c>
      <c r="E50">
        <f t="shared" si="1"/>
        <v>1.2304817665282231</v>
      </c>
      <c r="F50" s="3">
        <f>$J$5+E50*(MSFT_Monthly!$M$5-MSFT_WACC!$J$5)</f>
        <v>0.1474800746866689</v>
      </c>
      <c r="G50" s="10"/>
    </row>
    <row r="51" spans="1:7" x14ac:dyDescent="0.3">
      <c r="A51" s="2">
        <f t="shared" si="2"/>
        <v>0.49000000000000027</v>
      </c>
      <c r="B51" s="2">
        <f t="shared" si="3"/>
        <v>0.50999999999999956</v>
      </c>
      <c r="C51" s="7">
        <f t="shared" si="0"/>
        <v>0.96078431372549156</v>
      </c>
      <c r="D51" s="8">
        <f t="shared" si="4"/>
        <v>8.9000000000000037E-2</v>
      </c>
      <c r="E51">
        <f t="shared" si="1"/>
        <v>1.2502118663213733</v>
      </c>
      <c r="F51" s="3">
        <f>$J$5+E51*(MSFT_Monthly!$M$5-MSFT_WACC!$J$5)</f>
        <v>0.14920345869529703</v>
      </c>
      <c r="G51" s="10"/>
    </row>
    <row r="52" spans="1:7" x14ac:dyDescent="0.3">
      <c r="A52" s="2">
        <f t="shared" si="2"/>
        <v>0.50000000000000022</v>
      </c>
      <c r="B52" s="2">
        <f t="shared" si="3"/>
        <v>0.49999999999999956</v>
      </c>
      <c r="C52" s="7">
        <f t="shared" si="0"/>
        <v>1.0000000000000013</v>
      </c>
      <c r="D52" s="8">
        <f t="shared" si="4"/>
        <v>9.0000000000000038E-2</v>
      </c>
      <c r="E52">
        <f t="shared" si="1"/>
        <v>1.2707311701062491</v>
      </c>
      <c r="F52" s="3">
        <f>$J$5+E52*(MSFT_Monthly!$M$5-MSFT_WACC!$J$5)</f>
        <v>0.15099577806427025</v>
      </c>
      <c r="G52" s="10"/>
    </row>
    <row r="53" spans="1:7" x14ac:dyDescent="0.3">
      <c r="A53" s="2">
        <f t="shared" si="2"/>
        <v>0.51000000000000023</v>
      </c>
      <c r="B53" s="2">
        <f t="shared" si="3"/>
        <v>0.48999999999999955</v>
      </c>
      <c r="C53" s="7">
        <f t="shared" si="0"/>
        <v>1.0408163265306136</v>
      </c>
      <c r="D53" s="8">
        <f t="shared" si="4"/>
        <v>9.1000000000000039E-2</v>
      </c>
      <c r="E53">
        <f t="shared" si="1"/>
        <v>1.2920879964945895</v>
      </c>
      <c r="F53" s="3">
        <f>$J$5+E53*(MSFT_Monthly!$M$5-MSFT_WACC!$J$5)</f>
        <v>0.15286125332585462</v>
      </c>
      <c r="G53" s="10"/>
    </row>
    <row r="54" spans="1:7" x14ac:dyDescent="0.3">
      <c r="A54" s="2">
        <f t="shared" si="2"/>
        <v>0.52000000000000024</v>
      </c>
      <c r="B54" s="2">
        <f t="shared" si="3"/>
        <v>0.47999999999999954</v>
      </c>
      <c r="C54" s="7">
        <f t="shared" si="0"/>
        <v>1.0833333333333348</v>
      </c>
      <c r="D54" s="8">
        <f t="shared" si="4"/>
        <v>9.200000000000004E-2</v>
      </c>
      <c r="E54">
        <f t="shared" si="1"/>
        <v>1.3143346906491107</v>
      </c>
      <c r="F54" s="3">
        <f>$J$5+E54*(MSFT_Monthly!$M$5-MSFT_WACC!$J$5)</f>
        <v>0.15480445672333834</v>
      </c>
      <c r="G54" s="10"/>
    </row>
    <row r="55" spans="1:7" x14ac:dyDescent="0.3">
      <c r="A55" s="2">
        <f t="shared" si="2"/>
        <v>0.53000000000000025</v>
      </c>
      <c r="B55" s="2">
        <f t="shared" si="3"/>
        <v>0.46999999999999953</v>
      </c>
      <c r="C55" s="7">
        <f t="shared" si="0"/>
        <v>1.1276595744680868</v>
      </c>
      <c r="D55" s="8">
        <f t="shared" si="4"/>
        <v>9.3000000000000041E-2</v>
      </c>
      <c r="E55">
        <f t="shared" si="1"/>
        <v>1.3375280526399946</v>
      </c>
      <c r="F55" s="3">
        <f>$J$5+E55*(MSFT_Monthly!$M$5-MSFT_WACC!$J$5)</f>
        <v>0.15683034962709799</v>
      </c>
      <c r="G55" s="10"/>
    </row>
    <row r="56" spans="1:7" x14ac:dyDescent="0.3">
      <c r="A56" s="2">
        <f t="shared" si="2"/>
        <v>0.54000000000000026</v>
      </c>
      <c r="B56" s="2">
        <f t="shared" si="3"/>
        <v>0.45999999999999952</v>
      </c>
      <c r="C56" s="7">
        <f t="shared" si="0"/>
        <v>1.1739130434782628</v>
      </c>
      <c r="D56" s="8">
        <f t="shared" si="4"/>
        <v>9.4000000000000042E-2</v>
      </c>
      <c r="E56">
        <f t="shared" si="1"/>
        <v>1.3617298216739604</v>
      </c>
      <c r="F56" s="3">
        <f>$J$5+E56*(MSFT_Monthly!$M$5-MSFT_WACC!$J$5)</f>
        <v>0.15894432483102108</v>
      </c>
      <c r="G56" s="10"/>
    </row>
    <row r="57" spans="1:7" x14ac:dyDescent="0.3">
      <c r="A57" s="2">
        <f t="shared" si="2"/>
        <v>0.55000000000000027</v>
      </c>
      <c r="B57" s="2">
        <f t="shared" si="3"/>
        <v>0.44999999999999951</v>
      </c>
      <c r="C57" s="7">
        <f t="shared" si="0"/>
        <v>1.2222222222222241</v>
      </c>
      <c r="D57" s="8">
        <f t="shared" si="4"/>
        <v>9.5000000000000043E-2</v>
      </c>
      <c r="E57">
        <f t="shared" si="1"/>
        <v>1.3870072248872134</v>
      </c>
      <c r="F57" s="3">
        <f>$J$5+E57*(MSFT_Monthly!$M$5-MSFT_WACC!$J$5)</f>
        <v>0.16115225448845186</v>
      </c>
      <c r="G57" s="10"/>
    </row>
    <row r="58" spans="1:7" x14ac:dyDescent="0.3">
      <c r="A58" s="2">
        <f t="shared" si="2"/>
        <v>0.56000000000000028</v>
      </c>
      <c r="B58" s="2">
        <f t="shared" si="3"/>
        <v>0.4399999999999995</v>
      </c>
      <c r="C58" s="7">
        <f t="shared" si="0"/>
        <v>1.2727272727272747</v>
      </c>
      <c r="D58" s="8">
        <f t="shared" si="4"/>
        <v>9.6000000000000044E-2</v>
      </c>
      <c r="E58">
        <f t="shared" si="1"/>
        <v>1.413433600973796</v>
      </c>
      <c r="F58" s="3">
        <f>$J$5+E58*(MSFT_Monthly!$M$5-MSFT_WACC!$J$5)</f>
        <v>0.16346054458485676</v>
      </c>
      <c r="G58" s="10"/>
    </row>
    <row r="59" spans="1:7" x14ac:dyDescent="0.3">
      <c r="A59" s="2">
        <f t="shared" si="2"/>
        <v>0.57000000000000028</v>
      </c>
      <c r="B59" s="2">
        <f t="shared" si="3"/>
        <v>0.42999999999999949</v>
      </c>
      <c r="C59" s="7">
        <f t="shared" si="0"/>
        <v>1.3255813953488393</v>
      </c>
      <c r="D59" s="8">
        <f t="shared" si="4"/>
        <v>9.7000000000000045E-2</v>
      </c>
      <c r="E59">
        <f t="shared" si="1"/>
        <v>1.4410891108318478</v>
      </c>
      <c r="F59" s="3">
        <f>$J$5+E59*(MSFT_Monthly!$M$5-MSFT_WACC!$J$5)</f>
        <v>0.16587619701132703</v>
      </c>
      <c r="G59" s="10"/>
    </row>
    <row r="60" spans="1:7" x14ac:dyDescent="0.3">
      <c r="A60" s="2">
        <f t="shared" si="2"/>
        <v>0.58000000000000029</v>
      </c>
      <c r="B60" s="2">
        <f t="shared" si="3"/>
        <v>0.41999999999999948</v>
      </c>
      <c r="C60" s="7">
        <f t="shared" si="0"/>
        <v>1.3809523809523834</v>
      </c>
      <c r="D60" s="8">
        <f t="shared" si="4"/>
        <v>9.8000000000000045E-2</v>
      </c>
      <c r="E60">
        <f t="shared" si="1"/>
        <v>1.4700615497307594</v>
      </c>
      <c r="F60" s="3">
        <f>$J$5+E60*(MSFT_Monthly!$M$5-MSFT_WACC!$J$5)</f>
        <v>0.16840688050572447</v>
      </c>
      <c r="G60" s="10"/>
    </row>
    <row r="61" spans="1:7" x14ac:dyDescent="0.3">
      <c r="A61" s="2">
        <f t="shared" si="2"/>
        <v>0.5900000000000003</v>
      </c>
      <c r="B61" s="2">
        <f t="shared" si="3"/>
        <v>0.40999999999999948</v>
      </c>
      <c r="C61" s="7">
        <f t="shared" si="0"/>
        <v>1.439024390243905</v>
      </c>
      <c r="D61" s="8">
        <f t="shared" si="4"/>
        <v>9.9000000000000046E-2</v>
      </c>
      <c r="E61">
        <f t="shared" si="1"/>
        <v>1.5004472783320566</v>
      </c>
      <c r="F61" s="3">
        <f>$J$5+E61*(MSFT_Monthly!$M$5-MSFT_WACC!$J$5)</f>
        <v>0.17106101197545831</v>
      </c>
      <c r="G61" s="10"/>
    </row>
    <row r="62" spans="1:7" x14ac:dyDescent="0.3">
      <c r="A62" s="2">
        <f t="shared" si="2"/>
        <v>0.60000000000000031</v>
      </c>
      <c r="B62" s="2">
        <f t="shared" si="3"/>
        <v>0.39999999999999947</v>
      </c>
      <c r="C62" s="7">
        <f t="shared" si="0"/>
        <v>1.5000000000000027</v>
      </c>
      <c r="D62" s="8">
        <f t="shared" si="4"/>
        <v>0.10000000000000005</v>
      </c>
      <c r="E62">
        <f t="shared" si="1"/>
        <v>1.5323522933634186</v>
      </c>
      <c r="F62" s="3">
        <f>$J$5+E62*(MSFT_Monthly!$M$5-MSFT_WACC!$J$5)</f>
        <v>0.17384785001867886</v>
      </c>
      <c r="G62" s="10"/>
    </row>
    <row r="63" spans="1:7" x14ac:dyDescent="0.3">
      <c r="A63" s="2">
        <f t="shared" si="2"/>
        <v>0.61000000000000032</v>
      </c>
      <c r="B63" s="2">
        <f t="shared" si="3"/>
        <v>0.38999999999999946</v>
      </c>
      <c r="C63" s="7">
        <f t="shared" si="0"/>
        <v>1.5641025641025672</v>
      </c>
      <c r="D63" s="8">
        <f t="shared" si="4"/>
        <v>0.10100000000000005</v>
      </c>
      <c r="E63">
        <f t="shared" si="1"/>
        <v>1.565893463011774</v>
      </c>
      <c r="F63" s="3">
        <f>$J$5+E63*(MSFT_Monthly!$M$5-MSFT_WACC!$J$5)</f>
        <v>0.17677760283334668</v>
      </c>
      <c r="G63" s="10"/>
    </row>
    <row r="64" spans="1:7" x14ac:dyDescent="0.3">
      <c r="A64" s="2">
        <f t="shared" si="2"/>
        <v>0.62000000000000033</v>
      </c>
      <c r="B64" s="2">
        <f t="shared" si="3"/>
        <v>0.37999999999999945</v>
      </c>
      <c r="C64" s="7">
        <f t="shared" si="0"/>
        <v>1.6315789473684243</v>
      </c>
      <c r="D64" s="8">
        <f t="shared" si="4"/>
        <v>0.10200000000000005</v>
      </c>
      <c r="E64">
        <f t="shared" si="1"/>
        <v>1.6011999573784637</v>
      </c>
      <c r="F64" s="3">
        <f>$J$5+E64*(MSFT_Monthly!$M$5-MSFT_WACC!$J$5)</f>
        <v>0.17986155316457592</v>
      </c>
      <c r="G64" s="10"/>
    </row>
    <row r="65" spans="1:7" x14ac:dyDescent="0.3">
      <c r="A65" s="2">
        <f t="shared" si="2"/>
        <v>0.63000000000000034</v>
      </c>
      <c r="B65" s="2">
        <f t="shared" si="3"/>
        <v>0.36999999999999944</v>
      </c>
      <c r="C65" s="7">
        <f t="shared" si="0"/>
        <v>1.7027027027027062</v>
      </c>
      <c r="D65" s="8">
        <f t="shared" si="4"/>
        <v>0.10300000000000005</v>
      </c>
      <c r="E65">
        <f t="shared" si="1"/>
        <v>1.6384149109001092</v>
      </c>
      <c r="F65" s="3">
        <f>$J$5+E65*(MSFT_Monthly!$M$5-MSFT_WACC!$J$5)</f>
        <v>0.18311220351370941</v>
      </c>
      <c r="G65" s="10"/>
    </row>
    <row r="66" spans="1:7" x14ac:dyDescent="0.3">
      <c r="A66" s="2">
        <f t="shared" si="2"/>
        <v>0.64000000000000035</v>
      </c>
      <c r="B66" s="2">
        <f t="shared" si="3"/>
        <v>0.35999999999999943</v>
      </c>
      <c r="C66" s="7">
        <f t="shared" si="0"/>
        <v>1.7777777777777815</v>
      </c>
      <c r="D66" s="8">
        <f t="shared" si="4"/>
        <v>0.10400000000000005</v>
      </c>
      <c r="E66">
        <f t="shared" si="1"/>
        <v>1.6776973618396243</v>
      </c>
      <c r="F66" s="3">
        <f>$J$5+E66*(MSFT_Monthly!$M$5-MSFT_WACC!$J$5)</f>
        <v>0.18654344554890592</v>
      </c>
      <c r="G66" s="10"/>
    </row>
    <row r="67" spans="1:7" x14ac:dyDescent="0.3">
      <c r="A67" s="2">
        <f t="shared" si="2"/>
        <v>0.65000000000000036</v>
      </c>
      <c r="B67" s="2">
        <f t="shared" si="3"/>
        <v>0.34999999999999942</v>
      </c>
      <c r="C67" s="7">
        <f t="shared" ref="C67:C101" si="5">A67/B67</f>
        <v>1.8571428571428612</v>
      </c>
      <c r="D67" s="8">
        <f t="shared" si="4"/>
        <v>0.10500000000000005</v>
      </c>
      <c r="E67">
        <f t="shared" ref="E67:E101" si="6">$J$3*(1+(1-$J$4)*C67)</f>
        <v>1.7192245242613968</v>
      </c>
      <c r="F67" s="3">
        <f>$J$5+E67*(MSFT_Monthly!$M$5-MSFT_WACC!$J$5)</f>
        <v>0.19017075855754217</v>
      </c>
      <c r="G67" s="10"/>
    </row>
    <row r="68" spans="1:7" x14ac:dyDescent="0.3">
      <c r="A68" s="2">
        <f t="shared" ref="A68:A101" si="7">A67+1%</f>
        <v>0.66000000000000036</v>
      </c>
      <c r="B68" s="2">
        <f t="shared" ref="B68:B101" si="8">B67-0.01</f>
        <v>0.33999999999999941</v>
      </c>
      <c r="C68" s="7">
        <f t="shared" si="5"/>
        <v>1.9411764705882397</v>
      </c>
      <c r="D68" s="8">
        <f t="shared" ref="D68:D101" si="9">D67+0.1%</f>
        <v>0.10600000000000005</v>
      </c>
      <c r="E68">
        <f t="shared" si="6"/>
        <v>1.7631944609432746</v>
      </c>
      <c r="F68" s="3">
        <f>$J$5+E68*(MSFT_Monthly!$M$5-MSFT_WACC!$J$5)</f>
        <v>0.19401144291962771</v>
      </c>
      <c r="G68" s="10"/>
    </row>
    <row r="69" spans="1:7" x14ac:dyDescent="0.3">
      <c r="A69" s="2">
        <f t="shared" si="7"/>
        <v>0.67000000000000037</v>
      </c>
      <c r="B69" s="2">
        <f t="shared" si="8"/>
        <v>0.3299999999999994</v>
      </c>
      <c r="C69" s="7">
        <f t="shared" si="5"/>
        <v>2.0303030303030352</v>
      </c>
      <c r="D69" s="8">
        <f t="shared" si="9"/>
        <v>0.10700000000000005</v>
      </c>
      <c r="E69">
        <f t="shared" si="6"/>
        <v>1.8098292422725382</v>
      </c>
      <c r="F69" s="3">
        <f>$J$5+E69*(MSFT_Monthly!$M$5-MSFT_WACC!$J$5)</f>
        <v>0.19808489603093049</v>
      </c>
      <c r="G69" s="10"/>
    </row>
    <row r="70" spans="1:7" x14ac:dyDescent="0.3">
      <c r="A70" s="2">
        <f t="shared" si="7"/>
        <v>0.68000000000000038</v>
      </c>
      <c r="B70" s="2">
        <f t="shared" si="8"/>
        <v>0.3199999999999994</v>
      </c>
      <c r="C70" s="7">
        <f t="shared" si="5"/>
        <v>2.1250000000000053</v>
      </c>
      <c r="D70" s="8">
        <f t="shared" si="9"/>
        <v>0.10800000000000005</v>
      </c>
      <c r="E70">
        <f t="shared" si="6"/>
        <v>1.8593786974348809</v>
      </c>
      <c r="F70" s="3">
        <f>$J$5+E70*(MSFT_Monthly!$M$5-MSFT_WACC!$J$5)</f>
        <v>0.20241293996168969</v>
      </c>
      <c r="G70" s="10"/>
    </row>
    <row r="71" spans="1:7" x14ac:dyDescent="0.3">
      <c r="A71" s="2">
        <f t="shared" si="7"/>
        <v>0.69000000000000039</v>
      </c>
      <c r="B71" s="2">
        <f t="shared" si="8"/>
        <v>0.30999999999999939</v>
      </c>
      <c r="C71" s="7">
        <f t="shared" si="5"/>
        <v>2.2258064516129088</v>
      </c>
      <c r="D71" s="8">
        <f t="shared" si="9"/>
        <v>0.10900000000000006</v>
      </c>
      <c r="E71">
        <f t="shared" si="6"/>
        <v>1.9121248916399556</v>
      </c>
      <c r="F71" s="3">
        <f>$J$5+E71*(MSFT_Monthly!$M$5-MSFT_WACC!$J$5)</f>
        <v>0.20702021253314307</v>
      </c>
      <c r="G71" s="10"/>
    </row>
    <row r="72" spans="1:7" x14ac:dyDescent="0.3">
      <c r="A72" s="2">
        <f t="shared" si="7"/>
        <v>0.7000000000000004</v>
      </c>
      <c r="B72" s="2">
        <f t="shared" si="8"/>
        <v>0.29999999999999938</v>
      </c>
      <c r="C72" s="7">
        <f t="shared" si="5"/>
        <v>2.3333333333333397</v>
      </c>
      <c r="D72" s="8">
        <f t="shared" si="9"/>
        <v>0.11000000000000006</v>
      </c>
      <c r="E72">
        <f t="shared" si="6"/>
        <v>1.9683874987920353</v>
      </c>
      <c r="F72" s="3">
        <f>$J$5+E72*(MSFT_Monthly!$M$5-MSFT_WACC!$J$5)</f>
        <v>0.21193463660935999</v>
      </c>
      <c r="G72" s="10"/>
    </row>
    <row r="73" spans="1:7" x14ac:dyDescent="0.3">
      <c r="A73" s="2">
        <f t="shared" si="7"/>
        <v>0.71000000000000041</v>
      </c>
      <c r="B73" s="2">
        <f t="shared" si="8"/>
        <v>0.28999999999999937</v>
      </c>
      <c r="C73" s="7">
        <f t="shared" si="5"/>
        <v>2.4482758620689724</v>
      </c>
      <c r="D73" s="8">
        <f t="shared" si="9"/>
        <v>0.11100000000000006</v>
      </c>
      <c r="E73">
        <f t="shared" si="6"/>
        <v>2.0285302857477063</v>
      </c>
      <c r="F73" s="3">
        <f>$J$5+E73*(MSFT_Monthly!$M$5-MSFT_WACC!$J$5)</f>
        <v>0.21718798648393667</v>
      </c>
      <c r="G73" s="10"/>
    </row>
    <row r="74" spans="1:7" x14ac:dyDescent="0.3">
      <c r="A74" s="2">
        <f t="shared" si="7"/>
        <v>0.72000000000000042</v>
      </c>
      <c r="B74" s="2">
        <f t="shared" si="8"/>
        <v>0.27999999999999936</v>
      </c>
      <c r="C74" s="7">
        <f t="shared" si="5"/>
        <v>2.5714285714285787</v>
      </c>
      <c r="D74" s="8">
        <f t="shared" si="9"/>
        <v>0.11200000000000006</v>
      </c>
      <c r="E74">
        <f t="shared" si="6"/>
        <v>2.0929689860573544</v>
      </c>
      <c r="F74" s="3">
        <f>$J$5+E74*(MSFT_Monthly!$M$5-MSFT_WACC!$J$5)</f>
        <v>0.22281657563526888</v>
      </c>
      <c r="G74" s="10"/>
    </row>
    <row r="75" spans="1:7" x14ac:dyDescent="0.3">
      <c r="A75" s="2">
        <f t="shared" si="7"/>
        <v>0.73000000000000043</v>
      </c>
      <c r="B75" s="2">
        <f t="shared" si="8"/>
        <v>0.26999999999999935</v>
      </c>
      <c r="C75" s="7">
        <f t="shared" si="5"/>
        <v>2.7037037037037117</v>
      </c>
      <c r="D75" s="8">
        <f t="shared" si="9"/>
        <v>0.11300000000000006</v>
      </c>
      <c r="E75">
        <f t="shared" si="6"/>
        <v>2.162180923426976</v>
      </c>
      <c r="F75" s="3">
        <f>$J$5+E75*(MSFT_Monthly!$M$5-MSFT_WACC!$J$5)</f>
        <v>0.22886209731632937</v>
      </c>
      <c r="G75" s="10"/>
    </row>
    <row r="76" spans="1:7" x14ac:dyDescent="0.3">
      <c r="A76" s="2">
        <f t="shared" si="7"/>
        <v>0.74000000000000044</v>
      </c>
      <c r="B76" s="2">
        <f t="shared" si="8"/>
        <v>0.25999999999999934</v>
      </c>
      <c r="C76" s="7">
        <f t="shared" si="5"/>
        <v>2.8461538461538551</v>
      </c>
      <c r="D76" s="8">
        <f t="shared" si="9"/>
        <v>0.11400000000000006</v>
      </c>
      <c r="E76">
        <f t="shared" si="6"/>
        <v>2.2367168559788766</v>
      </c>
      <c r="F76" s="3">
        <f>$J$5+E76*(MSFT_Monthly!$M$5-MSFT_WACC!$J$5)</f>
        <v>0.23537265912670224</v>
      </c>
      <c r="G76" s="10"/>
    </row>
    <row r="77" spans="1:7" x14ac:dyDescent="0.3">
      <c r="A77" s="2">
        <f t="shared" si="7"/>
        <v>0.75000000000000044</v>
      </c>
      <c r="B77" s="2">
        <f t="shared" si="8"/>
        <v>0.24999999999999933</v>
      </c>
      <c r="C77" s="7">
        <f t="shared" si="5"/>
        <v>3.0000000000000098</v>
      </c>
      <c r="D77" s="8">
        <f t="shared" si="9"/>
        <v>0.11500000000000006</v>
      </c>
      <c r="E77">
        <f t="shared" si="6"/>
        <v>2.3172156631349288</v>
      </c>
      <c r="F77" s="3">
        <f>$J$5+E77*(MSFT_Monthly!$M$5-MSFT_WACC!$J$5)</f>
        <v>0.24240406588190491</v>
      </c>
      <c r="G77" s="10"/>
    </row>
    <row r="78" spans="1:7" x14ac:dyDescent="0.3">
      <c r="A78" s="2">
        <f t="shared" si="7"/>
        <v>0.76000000000000045</v>
      </c>
      <c r="B78" s="2">
        <f t="shared" si="8"/>
        <v>0.23999999999999932</v>
      </c>
      <c r="C78" s="7">
        <f t="shared" si="5"/>
        <v>3.1666666666666776</v>
      </c>
      <c r="D78" s="8">
        <f t="shared" si="9"/>
        <v>0.11600000000000006</v>
      </c>
      <c r="E78">
        <f t="shared" si="6"/>
        <v>2.4044227042206523</v>
      </c>
      <c r="F78" s="3">
        <f>$J$5+E78*(MSFT_Monthly!$M$5-MSFT_WACC!$J$5)</f>
        <v>0.25002142320004112</v>
      </c>
      <c r="G78" s="10"/>
    </row>
    <row r="79" spans="1:7" x14ac:dyDescent="0.3">
      <c r="A79" s="2">
        <f t="shared" si="7"/>
        <v>0.77000000000000046</v>
      </c>
      <c r="B79" s="2">
        <f t="shared" si="8"/>
        <v>0.22999999999999932</v>
      </c>
      <c r="C79" s="7">
        <f t="shared" si="5"/>
        <v>3.3478260869565335</v>
      </c>
      <c r="D79" s="8">
        <f t="shared" si="9"/>
        <v>0.11700000000000006</v>
      </c>
      <c r="E79">
        <f t="shared" si="6"/>
        <v>2.4992129662703513</v>
      </c>
      <c r="F79" s="3">
        <f>$J$5+E79*(MSFT_Monthly!$M$5-MSFT_WACC!$J$5)</f>
        <v>0.25830115941540654</v>
      </c>
      <c r="G79" s="10"/>
    </row>
    <row r="80" spans="1:7" x14ac:dyDescent="0.3">
      <c r="A80" s="2">
        <f t="shared" si="7"/>
        <v>0.78000000000000047</v>
      </c>
      <c r="B80" s="2">
        <f t="shared" si="8"/>
        <v>0.21999999999999931</v>
      </c>
      <c r="C80" s="7">
        <f t="shared" si="5"/>
        <v>3.5454545454545587</v>
      </c>
      <c r="D80" s="8">
        <f t="shared" si="9"/>
        <v>0.11800000000000006</v>
      </c>
      <c r="E80">
        <f t="shared" si="6"/>
        <v>2.6026205248700238</v>
      </c>
      <c r="F80" s="3">
        <f>$J$5+E80*(MSFT_Monthly!$M$5-MSFT_WACC!$J$5)</f>
        <v>0.26733359892307801</v>
      </c>
      <c r="G80" s="10"/>
    </row>
    <row r="81" spans="1:7" x14ac:dyDescent="0.3">
      <c r="A81" s="2">
        <f t="shared" si="7"/>
        <v>0.79000000000000048</v>
      </c>
      <c r="B81" s="2">
        <f t="shared" si="8"/>
        <v>0.2099999999999993</v>
      </c>
      <c r="C81" s="7">
        <f t="shared" si="5"/>
        <v>3.761904761904777</v>
      </c>
      <c r="D81" s="8">
        <f t="shared" si="9"/>
        <v>0.11900000000000006</v>
      </c>
      <c r="E81">
        <f t="shared" si="6"/>
        <v>2.7158764223839507</v>
      </c>
      <c r="F81" s="3">
        <f>$J$5+E81*(MSFT_Monthly!$M$5-MSFT_WACC!$J$5)</f>
        <v>0.27722627076481343</v>
      </c>
      <c r="G81" s="10"/>
    </row>
    <row r="82" spans="1:7" x14ac:dyDescent="0.3">
      <c r="A82" s="2">
        <f t="shared" si="7"/>
        <v>0.80000000000000049</v>
      </c>
      <c r="B82" s="2">
        <f t="shared" si="8"/>
        <v>0.19999999999999929</v>
      </c>
      <c r="C82" s="7">
        <f t="shared" si="5"/>
        <v>4.0000000000000169</v>
      </c>
      <c r="D82" s="8">
        <f t="shared" si="9"/>
        <v>0.12000000000000006</v>
      </c>
      <c r="E82">
        <f t="shared" si="6"/>
        <v>2.8404579096492704</v>
      </c>
      <c r="F82" s="3">
        <f>$J$5+E82*(MSFT_Monthly!$M$5-MSFT_WACC!$J$5)</f>
        <v>0.28810820979072238</v>
      </c>
      <c r="G82" s="10"/>
    </row>
    <row r="83" spans="1:7" x14ac:dyDescent="0.3">
      <c r="A83" s="2">
        <f t="shared" si="7"/>
        <v>0.8100000000000005</v>
      </c>
      <c r="B83" s="2">
        <f t="shared" si="8"/>
        <v>0.18999999999999928</v>
      </c>
      <c r="C83" s="7">
        <f t="shared" si="5"/>
        <v>4.2631578947368611</v>
      </c>
      <c r="D83" s="8">
        <f t="shared" si="9"/>
        <v>0.12100000000000007</v>
      </c>
      <c r="E83">
        <f t="shared" si="6"/>
        <v>2.97815323767936</v>
      </c>
      <c r="F83" s="3">
        <f>$J$5+E83*(MSFT_Monthly!$M$5-MSFT_WACC!$J$5)</f>
        <v>0.30013561608251643</v>
      </c>
      <c r="G83" s="10"/>
    </row>
    <row r="84" spans="1:7" x14ac:dyDescent="0.3">
      <c r="A84" s="2">
        <f t="shared" si="7"/>
        <v>0.82000000000000051</v>
      </c>
      <c r="B84" s="2">
        <f t="shared" si="8"/>
        <v>0.17999999999999927</v>
      </c>
      <c r="C84" s="7">
        <f t="shared" si="5"/>
        <v>4.5555555555555767</v>
      </c>
      <c r="D84" s="8">
        <f t="shared" si="9"/>
        <v>0.12200000000000007</v>
      </c>
      <c r="E84">
        <f t="shared" si="6"/>
        <v>3.1311480466016821</v>
      </c>
      <c r="F84" s="3">
        <f>$J$5+E84*(MSFT_Monthly!$M$5-MSFT_WACC!$J$5)</f>
        <v>0.3134994008511765</v>
      </c>
      <c r="G84" s="10"/>
    </row>
    <row r="85" spans="1:7" x14ac:dyDescent="0.3">
      <c r="A85" s="2">
        <f t="shared" si="7"/>
        <v>0.83000000000000052</v>
      </c>
      <c r="B85" s="2">
        <f t="shared" si="8"/>
        <v>0.16999999999999926</v>
      </c>
      <c r="C85" s="7">
        <f t="shared" si="5"/>
        <v>4.882352941176495</v>
      </c>
      <c r="D85" s="8">
        <f t="shared" si="9"/>
        <v>0.12300000000000007</v>
      </c>
      <c r="E85">
        <f t="shared" si="6"/>
        <v>3.3021422448089832</v>
      </c>
      <c r="F85" s="3">
        <f>$J$5+E85*(MSFT_Monthly!$M$5-MSFT_WACC!$J$5)</f>
        <v>0.32843539559262008</v>
      </c>
      <c r="G85" s="10"/>
    </row>
    <row r="86" spans="1:7" x14ac:dyDescent="0.3">
      <c r="A86" s="2">
        <f t="shared" si="7"/>
        <v>0.84000000000000052</v>
      </c>
      <c r="B86" s="2">
        <f t="shared" si="8"/>
        <v>0.15999999999999925</v>
      </c>
      <c r="C86" s="7">
        <f t="shared" si="5"/>
        <v>5.2500000000000275</v>
      </c>
      <c r="D86" s="8">
        <f t="shared" si="9"/>
        <v>0.12400000000000007</v>
      </c>
      <c r="E86">
        <f t="shared" si="6"/>
        <v>3.4945107177921972</v>
      </c>
      <c r="F86" s="3">
        <f>$J$5+E86*(MSFT_Monthly!$M$5-MSFT_WACC!$J$5)</f>
        <v>0.3452383896767442</v>
      </c>
      <c r="G86" s="10"/>
    </row>
    <row r="87" spans="1:7" x14ac:dyDescent="0.3">
      <c r="A87" s="2">
        <f t="shared" si="7"/>
        <v>0.85000000000000053</v>
      </c>
      <c r="B87" s="2">
        <f t="shared" si="8"/>
        <v>0.14999999999999925</v>
      </c>
      <c r="C87" s="7">
        <f t="shared" si="5"/>
        <v>5.6666666666666989</v>
      </c>
      <c r="D87" s="8">
        <f t="shared" si="9"/>
        <v>0.12500000000000006</v>
      </c>
      <c r="E87">
        <f t="shared" si="6"/>
        <v>3.7125283205065074</v>
      </c>
      <c r="F87" s="3">
        <f>$J$5+E87*(MSFT_Monthly!$M$5-MSFT_WACC!$J$5)</f>
        <v>0.36428178297208491</v>
      </c>
      <c r="G87" s="10"/>
    </row>
    <row r="88" spans="1:7" x14ac:dyDescent="0.3">
      <c r="A88" s="2">
        <f t="shared" si="7"/>
        <v>0.86000000000000054</v>
      </c>
      <c r="B88" s="2">
        <f t="shared" si="8"/>
        <v>0.13999999999999924</v>
      </c>
      <c r="C88" s="7">
        <f t="shared" si="5"/>
        <v>6.1428571428571805</v>
      </c>
      <c r="D88" s="8">
        <f t="shared" si="9"/>
        <v>0.12600000000000006</v>
      </c>
      <c r="E88">
        <f t="shared" si="6"/>
        <v>3.9616912950371477</v>
      </c>
      <c r="F88" s="3">
        <f>$J$5+E88*(MSFT_Monthly!$M$5-MSFT_WACC!$J$5)</f>
        <v>0.38604566102390292</v>
      </c>
      <c r="G88" s="10"/>
    </row>
    <row r="89" spans="1:7" x14ac:dyDescent="0.3">
      <c r="A89" s="2">
        <f t="shared" si="7"/>
        <v>0.87000000000000055</v>
      </c>
      <c r="B89" s="2">
        <f t="shared" si="8"/>
        <v>0.12999999999999923</v>
      </c>
      <c r="C89" s="7">
        <f t="shared" si="5"/>
        <v>6.692307692307736</v>
      </c>
      <c r="D89" s="8">
        <f t="shared" si="9"/>
        <v>0.12700000000000006</v>
      </c>
      <c r="E89">
        <f t="shared" si="6"/>
        <v>4.249187034880193</v>
      </c>
      <c r="F89" s="3">
        <f>$J$5+E89*(MSFT_Monthly!$M$5-MSFT_WACC!$J$5)</f>
        <v>0.4111578280067697</v>
      </c>
      <c r="G89" s="10"/>
    </row>
    <row r="90" spans="1:7" x14ac:dyDescent="0.3">
      <c r="A90" s="2">
        <f t="shared" si="7"/>
        <v>0.88000000000000056</v>
      </c>
      <c r="B90" s="2">
        <f t="shared" si="8"/>
        <v>0.11999999999999923</v>
      </c>
      <c r="C90" s="7">
        <f t="shared" si="5"/>
        <v>7.3333333333333846</v>
      </c>
      <c r="D90" s="8">
        <f t="shared" si="9"/>
        <v>0.12800000000000006</v>
      </c>
      <c r="E90">
        <f t="shared" si="6"/>
        <v>4.5845987313637471</v>
      </c>
      <c r="F90" s="3">
        <f>$J$5+E90*(MSFT_Monthly!$M$5-MSFT_WACC!$J$5)</f>
        <v>0.44045535615344772</v>
      </c>
      <c r="G90" s="10"/>
    </row>
    <row r="91" spans="1:7" x14ac:dyDescent="0.3">
      <c r="A91" s="2">
        <f t="shared" si="7"/>
        <v>0.89000000000000057</v>
      </c>
      <c r="B91" s="2">
        <f t="shared" si="8"/>
        <v>0.10999999999999924</v>
      </c>
      <c r="C91" s="7">
        <f t="shared" si="5"/>
        <v>8.0909090909091521</v>
      </c>
      <c r="D91" s="8">
        <f t="shared" si="9"/>
        <v>0.12900000000000006</v>
      </c>
      <c r="E91">
        <f t="shared" si="6"/>
        <v>4.9809943726624919</v>
      </c>
      <c r="F91" s="3">
        <f>$J$5+E91*(MSFT_Monthly!$M$5-MSFT_WACC!$J$5)</f>
        <v>0.47507970759952167</v>
      </c>
      <c r="G91" s="10"/>
    </row>
    <row r="92" spans="1:7" x14ac:dyDescent="0.3">
      <c r="A92" s="2">
        <f t="shared" si="7"/>
        <v>0.90000000000000058</v>
      </c>
      <c r="B92" s="2">
        <f t="shared" si="8"/>
        <v>9.9999999999999242E-2</v>
      </c>
      <c r="C92" s="7">
        <f t="shared" si="5"/>
        <v>9.0000000000000746</v>
      </c>
      <c r="D92" s="8">
        <f t="shared" si="9"/>
        <v>0.13000000000000006</v>
      </c>
      <c r="E92">
        <f t="shared" si="6"/>
        <v>5.4566691422209885</v>
      </c>
      <c r="F92" s="3">
        <f>$J$5+E92*(MSFT_Monthly!$M$5-MSFT_WACC!$J$5)</f>
        <v>0.51662892933481064</v>
      </c>
      <c r="G92" s="10"/>
    </row>
    <row r="93" spans="1:7" x14ac:dyDescent="0.3">
      <c r="A93" s="2">
        <f t="shared" si="7"/>
        <v>0.91000000000000059</v>
      </c>
      <c r="B93" s="2">
        <f t="shared" si="8"/>
        <v>8.9999999999999247E-2</v>
      </c>
      <c r="C93" s="7">
        <f t="shared" si="5"/>
        <v>10.111111111111201</v>
      </c>
      <c r="D93" s="8">
        <f t="shared" si="9"/>
        <v>0.13100000000000006</v>
      </c>
      <c r="E93">
        <f t="shared" si="6"/>
        <v>6.0380494161258156</v>
      </c>
      <c r="F93" s="3">
        <f>$J$5+E93*(MSFT_Monthly!$M$5-MSFT_WACC!$J$5)</f>
        <v>0.56741131145571932</v>
      </c>
      <c r="G93" s="10"/>
    </row>
    <row r="94" spans="1:7" x14ac:dyDescent="0.3">
      <c r="A94" s="2">
        <f t="shared" si="7"/>
        <v>0.9200000000000006</v>
      </c>
      <c r="B94" s="2">
        <f t="shared" si="8"/>
        <v>7.9999999999999252E-2</v>
      </c>
      <c r="C94" s="7">
        <f t="shared" si="5"/>
        <v>11.500000000000115</v>
      </c>
      <c r="D94" s="8">
        <f t="shared" si="9"/>
        <v>0.13200000000000006</v>
      </c>
      <c r="E94">
        <f t="shared" si="6"/>
        <v>6.7647747585068538</v>
      </c>
      <c r="F94" s="3">
        <f>$J$5+E94*(MSFT_Monthly!$M$5-MSFT_WACC!$J$5)</f>
        <v>0.63088928910685538</v>
      </c>
      <c r="G94" s="10"/>
    </row>
    <row r="95" spans="1:7" x14ac:dyDescent="0.3">
      <c r="A95" s="2">
        <f t="shared" si="7"/>
        <v>0.9300000000000006</v>
      </c>
      <c r="B95" s="2">
        <f t="shared" si="8"/>
        <v>6.9999999999999257E-2</v>
      </c>
      <c r="C95" s="7">
        <f t="shared" si="5"/>
        <v>13.285714285714436</v>
      </c>
      <c r="D95" s="8">
        <f t="shared" si="9"/>
        <v>0.13300000000000006</v>
      </c>
      <c r="E95">
        <f t="shared" si="6"/>
        <v>7.69913591299676</v>
      </c>
      <c r="F95" s="3">
        <f>$J$5+E95*(MSFT_Monthly!$M$5-MSFT_WACC!$J$5)</f>
        <v>0.71250383180117327</v>
      </c>
      <c r="G95" s="10"/>
    </row>
    <row r="96" spans="1:7" x14ac:dyDescent="0.3">
      <c r="A96" s="2">
        <f t="shared" si="7"/>
        <v>0.94000000000000061</v>
      </c>
      <c r="B96" s="2">
        <f t="shared" si="8"/>
        <v>5.9999999999999255E-2</v>
      </c>
      <c r="C96" s="7">
        <f t="shared" si="5"/>
        <v>15.666666666666872</v>
      </c>
      <c r="D96" s="8">
        <f t="shared" si="9"/>
        <v>0.13400000000000006</v>
      </c>
      <c r="E96">
        <f t="shared" si="6"/>
        <v>8.9449507856499739</v>
      </c>
      <c r="F96" s="3">
        <f>$J$5+E96*(MSFT_Monthly!$M$5-MSFT_WACC!$J$5)</f>
        <v>0.8213232220602642</v>
      </c>
      <c r="G96" s="10"/>
    </row>
    <row r="97" spans="1:7" x14ac:dyDescent="0.3">
      <c r="A97" s="2">
        <f t="shared" si="7"/>
        <v>0.95000000000000062</v>
      </c>
      <c r="B97" s="2">
        <f t="shared" si="8"/>
        <v>4.9999999999999253E-2</v>
      </c>
      <c r="C97" s="7">
        <f t="shared" si="5"/>
        <v>19.000000000000295</v>
      </c>
      <c r="D97" s="8">
        <f t="shared" si="9"/>
        <v>0.13500000000000006</v>
      </c>
      <c r="E97">
        <f t="shared" si="6"/>
        <v>10.689091607364478</v>
      </c>
      <c r="F97" s="3">
        <f>$J$5+E97*(MSFT_Monthly!$M$5-MSFT_WACC!$J$5)</f>
        <v>0.97367036842299193</v>
      </c>
      <c r="G97" s="10"/>
    </row>
    <row r="98" spans="1:7" x14ac:dyDescent="0.3">
      <c r="A98" s="2">
        <f t="shared" si="7"/>
        <v>0.96000000000000063</v>
      </c>
      <c r="B98" s="2">
        <f t="shared" si="8"/>
        <v>3.9999999999999251E-2</v>
      </c>
      <c r="C98" s="7">
        <f t="shared" si="5"/>
        <v>24.000000000000465</v>
      </c>
      <c r="D98" s="8">
        <f t="shared" si="9"/>
        <v>0.13600000000000007</v>
      </c>
      <c r="E98">
        <f t="shared" si="6"/>
        <v>13.305302839936257</v>
      </c>
      <c r="F98" s="3">
        <f>$J$5+E98*(MSFT_Monthly!$M$5-MSFT_WACC!$J$5)</f>
        <v>1.2021910879670856</v>
      </c>
      <c r="G98" s="10"/>
    </row>
    <row r="99" spans="1:7" x14ac:dyDescent="0.3">
      <c r="A99" s="2">
        <f t="shared" si="7"/>
        <v>0.97000000000000064</v>
      </c>
      <c r="B99" s="2">
        <f t="shared" si="8"/>
        <v>2.9999999999999249E-2</v>
      </c>
      <c r="C99" s="7">
        <f t="shared" si="5"/>
        <v>32.333333333334167</v>
      </c>
      <c r="D99" s="8">
        <f t="shared" si="9"/>
        <v>0.13700000000000007</v>
      </c>
      <c r="E99">
        <f t="shared" si="6"/>
        <v>17.665654894222595</v>
      </c>
      <c r="F99" s="3">
        <f>$J$5+E99*(MSFT_Monthly!$M$5-MSFT_WACC!$J$5)</f>
        <v>1.5830589538739117</v>
      </c>
      <c r="G99" s="10"/>
    </row>
    <row r="100" spans="1:7" x14ac:dyDescent="0.3">
      <c r="A100" s="2">
        <f t="shared" si="7"/>
        <v>0.98000000000000065</v>
      </c>
      <c r="B100" s="2">
        <f t="shared" si="8"/>
        <v>1.9999999999999248E-2</v>
      </c>
      <c r="C100" s="7">
        <f t="shared" si="5"/>
        <v>49.000000000001876</v>
      </c>
      <c r="D100" s="8">
        <f t="shared" si="9"/>
        <v>0.13800000000000007</v>
      </c>
      <c r="E100">
        <f t="shared" si="6"/>
        <v>26.386359002795434</v>
      </c>
      <c r="F100" s="3">
        <f>$J$5+E100*(MSFT_Monthly!$M$5-MSFT_WACC!$J$5)</f>
        <v>2.3447946856875781</v>
      </c>
      <c r="G100" s="10"/>
    </row>
    <row r="101" spans="1:7" x14ac:dyDescent="0.3">
      <c r="A101" s="2">
        <f t="shared" si="7"/>
        <v>0.99000000000000066</v>
      </c>
      <c r="B101" s="2">
        <f t="shared" si="8"/>
        <v>9.9999999999992473E-3</v>
      </c>
      <c r="C101" s="7">
        <f t="shared" si="5"/>
        <v>99.000000000007518</v>
      </c>
      <c r="D101" s="8">
        <f t="shared" si="9"/>
        <v>0.13900000000000007</v>
      </c>
      <c r="E101">
        <f t="shared" si="6"/>
        <v>52.548471328515262</v>
      </c>
      <c r="F101" s="3">
        <f>$J$5+E101*(MSFT_Monthly!$M$5-MSFT_WACC!$J$5)</f>
        <v>4.6300018811286927</v>
      </c>
      <c r="G10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6BD2-3440-41AF-B359-1B0AE71F84D7}">
  <dimension ref="A1:I62"/>
  <sheetViews>
    <sheetView workbookViewId="0">
      <selection activeCell="K8" sqref="A1:XFD1048576"/>
    </sheetView>
  </sheetViews>
  <sheetFormatPr defaultRowHeight="14.4" x14ac:dyDescent="0.3"/>
  <cols>
    <col min="1" max="1" width="10.109375" bestFit="1" customWidth="1"/>
    <col min="2" max="3" width="7.77734375" bestFit="1" customWidth="1"/>
    <col min="4" max="4" width="8.77734375" bestFit="1" customWidth="1"/>
    <col min="5" max="5" width="6.77734375" bestFit="1" customWidth="1"/>
    <col min="6" max="6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 spans="1:9" x14ac:dyDescent="0.3">
      <c r="A2" s="1">
        <v>43830</v>
      </c>
      <c r="B2">
        <v>314.58999999999997</v>
      </c>
      <c r="C2">
        <v>323.79998999999998</v>
      </c>
      <c r="D2">
        <v>307.13</v>
      </c>
      <c r="E2">
        <v>321.85998999999998</v>
      </c>
      <c r="F2">
        <v>1285175800</v>
      </c>
      <c r="H2">
        <f>MAX($E$2:E2)</f>
        <v>321.85998999999998</v>
      </c>
      <c r="I2">
        <f>(E2-H2)/H2</f>
        <v>0</v>
      </c>
    </row>
    <row r="3" spans="1:9" x14ac:dyDescent="0.3">
      <c r="A3" s="1">
        <v>43861</v>
      </c>
      <c r="B3">
        <v>323.54001</v>
      </c>
      <c r="C3">
        <v>332.95001000000002</v>
      </c>
      <c r="D3">
        <v>320.35998999999998</v>
      </c>
      <c r="E3">
        <v>321.73000999999999</v>
      </c>
      <c r="F3">
        <v>1392003800</v>
      </c>
      <c r="G3" s="2">
        <f>E3/E2-1</f>
        <v>-4.0384019150685457E-4</v>
      </c>
      <c r="H3">
        <f>MAX($E$2:E3)</f>
        <v>321.85998999999998</v>
      </c>
      <c r="I3">
        <f t="shared" ref="I3:I62" si="0">(E3-H3)/H3</f>
        <v>-4.0384019150683847E-4</v>
      </c>
    </row>
    <row r="4" spans="1:9" x14ac:dyDescent="0.3">
      <c r="A4" s="1">
        <v>43889</v>
      </c>
      <c r="B4">
        <v>323.35001</v>
      </c>
      <c r="C4">
        <v>339.07998700000002</v>
      </c>
      <c r="D4">
        <v>285.54001</v>
      </c>
      <c r="E4">
        <v>296.26001000000002</v>
      </c>
      <c r="F4">
        <v>2110214900</v>
      </c>
      <c r="G4" s="2">
        <f t="shared" ref="G4:G62" si="1">E4/E3-1</f>
        <v>-7.916575764878131E-2</v>
      </c>
      <c r="H4">
        <f>MAX($E$2:E4)</f>
        <v>321.85998999999998</v>
      </c>
      <c r="I4">
        <f t="shared" si="0"/>
        <v>-7.953762752555843E-2</v>
      </c>
    </row>
    <row r="5" spans="1:9" x14ac:dyDescent="0.3">
      <c r="A5" s="1">
        <v>43921</v>
      </c>
      <c r="B5">
        <v>298.20999</v>
      </c>
      <c r="C5">
        <v>313.83999999999997</v>
      </c>
      <c r="D5">
        <v>218.25998999999999</v>
      </c>
      <c r="E5">
        <v>257.75</v>
      </c>
      <c r="F5">
        <v>5926017600</v>
      </c>
      <c r="G5" s="2">
        <f t="shared" si="1"/>
        <v>-0.12998720279527443</v>
      </c>
      <c r="H5">
        <f>MAX($E$2:E5)</f>
        <v>321.85998999999998</v>
      </c>
      <c r="I5">
        <f t="shared" si="0"/>
        <v>-0.19918595660181307</v>
      </c>
    </row>
    <row r="6" spans="1:9" x14ac:dyDescent="0.3">
      <c r="A6" s="1">
        <v>43951</v>
      </c>
      <c r="B6">
        <v>247.98</v>
      </c>
      <c r="C6">
        <v>294.88</v>
      </c>
      <c r="D6">
        <v>243.89999</v>
      </c>
      <c r="E6">
        <v>290.48000999999999</v>
      </c>
      <c r="F6">
        <v>2819312300</v>
      </c>
      <c r="G6" s="2">
        <f t="shared" si="1"/>
        <v>0.12698354995150329</v>
      </c>
      <c r="H6">
        <f>MAX($E$2:E6)</f>
        <v>321.85998999999998</v>
      </c>
      <c r="I6">
        <f t="shared" si="0"/>
        <v>-9.7495746520094004E-2</v>
      </c>
    </row>
    <row r="7" spans="1:9" x14ac:dyDescent="0.3">
      <c r="A7" s="1">
        <v>43980</v>
      </c>
      <c r="B7">
        <v>285.31</v>
      </c>
      <c r="C7">
        <v>306.83999999999997</v>
      </c>
      <c r="D7">
        <v>272.98998999999998</v>
      </c>
      <c r="E7">
        <v>304.32001000000002</v>
      </c>
      <c r="F7">
        <v>1910460500</v>
      </c>
      <c r="G7" s="2">
        <f t="shared" si="1"/>
        <v>4.7645275143029853E-2</v>
      </c>
      <c r="H7">
        <f>MAX($E$2:E7)</f>
        <v>321.85998999999998</v>
      </c>
      <c r="I7">
        <f t="shared" si="0"/>
        <v>-5.449568304528922E-2</v>
      </c>
    </row>
    <row r="8" spans="1:9" x14ac:dyDescent="0.3">
      <c r="A8" s="1">
        <v>44012</v>
      </c>
      <c r="B8">
        <v>303.62</v>
      </c>
      <c r="C8">
        <v>323.41000000000003</v>
      </c>
      <c r="D8">
        <v>296.73998999999998</v>
      </c>
      <c r="E8">
        <v>308.35998999999998</v>
      </c>
      <c r="F8">
        <v>2358674500</v>
      </c>
      <c r="G8" s="2">
        <f t="shared" si="1"/>
        <v>1.3275433317710306E-2</v>
      </c>
      <c r="H8">
        <f>MAX($E$2:E8)</f>
        <v>321.85998999999998</v>
      </c>
      <c r="I8">
        <f t="shared" si="0"/>
        <v>-4.1943703533949654E-2</v>
      </c>
    </row>
    <row r="9" spans="1:9" x14ac:dyDescent="0.3">
      <c r="A9" s="1">
        <v>44043</v>
      </c>
      <c r="B9">
        <v>309.57001000000002</v>
      </c>
      <c r="C9">
        <v>327.23000999999999</v>
      </c>
      <c r="D9">
        <v>309.07000699999998</v>
      </c>
      <c r="E9">
        <v>326.51999000000001</v>
      </c>
      <c r="F9">
        <v>1505145300</v>
      </c>
      <c r="G9" s="2">
        <f t="shared" si="1"/>
        <v>5.8892205827351329E-2</v>
      </c>
      <c r="H9">
        <f>MAX($E$2:E9)</f>
        <v>326.51999000000001</v>
      </c>
      <c r="I9">
        <f t="shared" si="0"/>
        <v>0</v>
      </c>
    </row>
    <row r="10" spans="1:9" x14ac:dyDescent="0.3">
      <c r="A10" s="1">
        <v>44074</v>
      </c>
      <c r="B10">
        <v>328.32001000000002</v>
      </c>
      <c r="C10">
        <v>351.29998999999998</v>
      </c>
      <c r="D10">
        <v>327.73000999999999</v>
      </c>
      <c r="E10">
        <v>349.31</v>
      </c>
      <c r="F10">
        <v>1045563300</v>
      </c>
      <c r="G10" s="2">
        <f t="shared" si="1"/>
        <v>6.9796676154498138E-2</v>
      </c>
      <c r="H10">
        <f>MAX($E$2:E10)</f>
        <v>349.31</v>
      </c>
      <c r="I10">
        <f t="shared" si="0"/>
        <v>0</v>
      </c>
    </row>
    <row r="11" spans="1:9" x14ac:dyDescent="0.3">
      <c r="A11" s="1">
        <v>44104</v>
      </c>
      <c r="B11">
        <v>350.20999</v>
      </c>
      <c r="C11">
        <v>358.75</v>
      </c>
      <c r="D11">
        <v>319.79998999999998</v>
      </c>
      <c r="E11">
        <v>334.89001000000002</v>
      </c>
      <c r="F11">
        <v>1814712700</v>
      </c>
      <c r="G11" s="2">
        <f t="shared" si="1"/>
        <v>-4.1281354670636317E-2</v>
      </c>
      <c r="H11">
        <f>MAX($E$2:E11)</f>
        <v>349.31</v>
      </c>
      <c r="I11">
        <f t="shared" si="0"/>
        <v>-4.1281354670636351E-2</v>
      </c>
    </row>
    <row r="12" spans="1:9" x14ac:dyDescent="0.3">
      <c r="A12" s="1">
        <v>44134</v>
      </c>
      <c r="B12">
        <v>337.69</v>
      </c>
      <c r="C12">
        <v>354.01998900000001</v>
      </c>
      <c r="D12">
        <v>322.60001</v>
      </c>
      <c r="E12">
        <v>326.54001</v>
      </c>
      <c r="F12">
        <v>1629016100</v>
      </c>
      <c r="G12" s="2">
        <f t="shared" si="1"/>
        <v>-2.4933559528992899E-2</v>
      </c>
      <c r="H12">
        <f>MAX($E$2:E12)</f>
        <v>349.31</v>
      </c>
      <c r="I12">
        <f t="shared" si="0"/>
        <v>-6.5185623085511457E-2</v>
      </c>
    </row>
    <row r="13" spans="1:9" x14ac:dyDescent="0.3">
      <c r="A13" s="1">
        <v>44165</v>
      </c>
      <c r="B13">
        <v>330.20001000000002</v>
      </c>
      <c r="C13">
        <v>364.38</v>
      </c>
      <c r="D13">
        <v>327.23998999999998</v>
      </c>
      <c r="E13">
        <v>362.05999800000001</v>
      </c>
      <c r="F13">
        <v>1535244300</v>
      </c>
      <c r="G13" s="2">
        <f t="shared" si="1"/>
        <v>0.10877683258477266</v>
      </c>
      <c r="H13">
        <f>MAX($E$2:E13)</f>
        <v>362.05999800000001</v>
      </c>
      <c r="I13">
        <f t="shared" si="0"/>
        <v>0</v>
      </c>
    </row>
    <row r="14" spans="1:9" x14ac:dyDescent="0.3">
      <c r="A14" s="1">
        <v>44196</v>
      </c>
      <c r="B14">
        <v>365.57001000000002</v>
      </c>
      <c r="C14">
        <v>378.45999</v>
      </c>
      <c r="D14">
        <v>362.02999899999998</v>
      </c>
      <c r="E14">
        <v>373.88</v>
      </c>
      <c r="F14">
        <v>1344541500</v>
      </c>
      <c r="G14" s="2">
        <f t="shared" si="1"/>
        <v>3.2646528380083639E-2</v>
      </c>
      <c r="H14">
        <f>MAX($E$2:E14)</f>
        <v>373.88</v>
      </c>
      <c r="I14">
        <f t="shared" si="0"/>
        <v>0</v>
      </c>
    </row>
    <row r="15" spans="1:9" x14ac:dyDescent="0.3">
      <c r="A15" s="1">
        <v>44225</v>
      </c>
      <c r="B15">
        <v>375.31</v>
      </c>
      <c r="C15">
        <v>385.85001</v>
      </c>
      <c r="D15">
        <v>364.82001000000002</v>
      </c>
      <c r="E15">
        <v>370.07000699999998</v>
      </c>
      <c r="F15">
        <v>1402265400</v>
      </c>
      <c r="G15" s="2">
        <f t="shared" si="1"/>
        <v>-1.0190416711244321E-2</v>
      </c>
      <c r="H15">
        <f>MAX($E$2:E15)</f>
        <v>373.88</v>
      </c>
      <c r="I15">
        <f t="shared" si="0"/>
        <v>-1.0190416711244304E-2</v>
      </c>
    </row>
    <row r="16" spans="1:9" x14ac:dyDescent="0.3">
      <c r="A16" s="1">
        <v>44253</v>
      </c>
      <c r="B16">
        <v>373.72</v>
      </c>
      <c r="C16">
        <v>394.17000999999999</v>
      </c>
      <c r="D16">
        <v>370.38</v>
      </c>
      <c r="E16">
        <v>380.35998999999998</v>
      </c>
      <c r="F16">
        <v>1307806200</v>
      </c>
      <c r="G16" s="2">
        <f t="shared" si="1"/>
        <v>2.7805503838088663E-2</v>
      </c>
      <c r="H16">
        <f>MAX($E$2:E16)</f>
        <v>380.35998999999998</v>
      </c>
      <c r="I16">
        <f t="shared" si="0"/>
        <v>0</v>
      </c>
    </row>
    <row r="17" spans="1:9" x14ac:dyDescent="0.3">
      <c r="A17" s="1">
        <v>44286</v>
      </c>
      <c r="B17">
        <v>385.59</v>
      </c>
      <c r="C17">
        <v>398.12</v>
      </c>
      <c r="D17">
        <v>371.88</v>
      </c>
      <c r="E17">
        <v>396.32999000000001</v>
      </c>
      <c r="F17">
        <v>2401715800</v>
      </c>
      <c r="G17" s="2">
        <f t="shared" si="1"/>
        <v>4.198654017211445E-2</v>
      </c>
      <c r="H17">
        <f>MAX($E$2:E17)</f>
        <v>396.32999000000001</v>
      </c>
      <c r="I17">
        <f t="shared" si="0"/>
        <v>0</v>
      </c>
    </row>
    <row r="18" spans="1:9" x14ac:dyDescent="0.3">
      <c r="A18" s="1">
        <v>44316</v>
      </c>
      <c r="B18">
        <v>398.39999</v>
      </c>
      <c r="C18">
        <v>420.72</v>
      </c>
      <c r="D18">
        <v>398.17998999999998</v>
      </c>
      <c r="E18">
        <v>417.29998999999998</v>
      </c>
      <c r="F18">
        <v>1462106600</v>
      </c>
      <c r="G18" s="2">
        <f t="shared" si="1"/>
        <v>5.2910454745047186E-2</v>
      </c>
      <c r="H18">
        <f>MAX($E$2:E18)</f>
        <v>417.29998999999998</v>
      </c>
      <c r="I18">
        <f t="shared" si="0"/>
        <v>0</v>
      </c>
    </row>
    <row r="19" spans="1:9" x14ac:dyDescent="0.3">
      <c r="A19" s="1">
        <v>44344</v>
      </c>
      <c r="B19">
        <v>419.42998999999998</v>
      </c>
      <c r="C19">
        <v>422.82001000000002</v>
      </c>
      <c r="D19">
        <v>404</v>
      </c>
      <c r="E19">
        <v>420.040009</v>
      </c>
      <c r="F19">
        <v>1547235900</v>
      </c>
      <c r="G19" s="2">
        <f t="shared" si="1"/>
        <v>6.5660653382715317E-3</v>
      </c>
      <c r="H19">
        <f>MAX($E$2:E19)</f>
        <v>420.040009</v>
      </c>
      <c r="I19">
        <f t="shared" si="0"/>
        <v>0</v>
      </c>
    </row>
    <row r="20" spans="1:9" x14ac:dyDescent="0.3">
      <c r="A20" s="1">
        <v>44377</v>
      </c>
      <c r="B20">
        <v>422.57001000000002</v>
      </c>
      <c r="C20">
        <v>428.78</v>
      </c>
      <c r="D20">
        <v>414.70001000000002</v>
      </c>
      <c r="E20">
        <v>428.05999800000001</v>
      </c>
      <c r="F20">
        <v>1282152400</v>
      </c>
      <c r="G20" s="2">
        <f t="shared" si="1"/>
        <v>1.9093393077229459E-2</v>
      </c>
      <c r="H20">
        <f>MAX($E$2:E20)</f>
        <v>428.05999800000001</v>
      </c>
      <c r="I20">
        <f t="shared" si="0"/>
        <v>0</v>
      </c>
    </row>
    <row r="21" spans="1:9" x14ac:dyDescent="0.3">
      <c r="A21" s="1">
        <v>44407</v>
      </c>
      <c r="B21">
        <v>428.87</v>
      </c>
      <c r="C21">
        <v>441.79998999999998</v>
      </c>
      <c r="D21">
        <v>421.97</v>
      </c>
      <c r="E21">
        <v>438.51001000000002</v>
      </c>
      <c r="F21">
        <v>1422104700</v>
      </c>
      <c r="G21" s="2">
        <f t="shared" si="1"/>
        <v>2.4412493689728088E-2</v>
      </c>
      <c r="H21">
        <f>MAX($E$2:E21)</f>
        <v>438.51001000000002</v>
      </c>
      <c r="I21">
        <f t="shared" si="0"/>
        <v>0</v>
      </c>
    </row>
    <row r="22" spans="1:9" x14ac:dyDescent="0.3">
      <c r="A22" s="1">
        <v>44439</v>
      </c>
      <c r="B22">
        <v>440.34</v>
      </c>
      <c r="C22">
        <v>453.07000699999998</v>
      </c>
      <c r="D22">
        <v>436.10001</v>
      </c>
      <c r="E22">
        <v>451.56</v>
      </c>
      <c r="F22">
        <v>1254001400</v>
      </c>
      <c r="G22" s="2">
        <f t="shared" si="1"/>
        <v>2.9759845162941723E-2</v>
      </c>
      <c r="H22">
        <f>MAX($E$2:E22)</f>
        <v>451.56</v>
      </c>
      <c r="I22">
        <f t="shared" si="0"/>
        <v>0</v>
      </c>
    </row>
    <row r="23" spans="1:9" x14ac:dyDescent="0.3">
      <c r="A23" s="1">
        <v>44469</v>
      </c>
      <c r="B23">
        <v>452.56</v>
      </c>
      <c r="C23">
        <v>454.04998799999998</v>
      </c>
      <c r="D23">
        <v>428.78</v>
      </c>
      <c r="E23">
        <v>429.14001000000002</v>
      </c>
      <c r="F23">
        <v>1745559600</v>
      </c>
      <c r="G23" s="2">
        <f t="shared" si="1"/>
        <v>-4.9650079723624785E-2</v>
      </c>
      <c r="H23">
        <f>MAX($E$2:E23)</f>
        <v>451.56</v>
      </c>
      <c r="I23">
        <f t="shared" si="0"/>
        <v>-4.9650079723624729E-2</v>
      </c>
    </row>
    <row r="24" spans="1:9" x14ac:dyDescent="0.3">
      <c r="A24" s="1">
        <v>44498</v>
      </c>
      <c r="B24">
        <v>430.98000999999999</v>
      </c>
      <c r="C24">
        <v>459.56</v>
      </c>
      <c r="D24">
        <v>426.35998999999998</v>
      </c>
      <c r="E24">
        <v>459.25</v>
      </c>
      <c r="F24">
        <v>1508665200</v>
      </c>
      <c r="G24" s="2">
        <f t="shared" si="1"/>
        <v>7.0163558042513952E-2</v>
      </c>
      <c r="H24">
        <f>MAX($E$2:E24)</f>
        <v>459.25</v>
      </c>
      <c r="I24">
        <f t="shared" si="0"/>
        <v>0</v>
      </c>
    </row>
    <row r="25" spans="1:9" x14ac:dyDescent="0.3">
      <c r="A25" s="1">
        <v>44530</v>
      </c>
      <c r="B25">
        <v>460.29998999999998</v>
      </c>
      <c r="C25">
        <v>473.54001</v>
      </c>
      <c r="D25">
        <v>455.29998999999998</v>
      </c>
      <c r="E25">
        <v>455.56</v>
      </c>
      <c r="F25">
        <v>1335351500</v>
      </c>
      <c r="G25" s="2">
        <f t="shared" si="1"/>
        <v>-8.0348394120849376E-3</v>
      </c>
      <c r="H25">
        <f>MAX($E$2:E25)</f>
        <v>459.25</v>
      </c>
      <c r="I25">
        <f t="shared" si="0"/>
        <v>-8.0348394120849168E-3</v>
      </c>
    </row>
    <row r="26" spans="1:9" x14ac:dyDescent="0.3">
      <c r="A26" s="1">
        <v>44561</v>
      </c>
      <c r="B26">
        <v>461.64001000000002</v>
      </c>
      <c r="C26">
        <v>479</v>
      </c>
      <c r="D26">
        <v>448.92000999999999</v>
      </c>
      <c r="E26">
        <v>474.95999</v>
      </c>
      <c r="F26">
        <v>1927433900</v>
      </c>
      <c r="G26" s="2">
        <f t="shared" si="1"/>
        <v>4.2584928439722614E-2</v>
      </c>
      <c r="H26">
        <f>MAX($E$2:E26)</f>
        <v>474.95999</v>
      </c>
      <c r="I26">
        <f t="shared" si="0"/>
        <v>0</v>
      </c>
    </row>
    <row r="27" spans="1:9" x14ac:dyDescent="0.3">
      <c r="A27" s="1">
        <v>44592</v>
      </c>
      <c r="B27">
        <v>476.29998999999998</v>
      </c>
      <c r="C27">
        <v>479.98000999999999</v>
      </c>
      <c r="D27">
        <v>420.76001000000002</v>
      </c>
      <c r="E27">
        <v>449.91</v>
      </c>
      <c r="F27">
        <v>2485167800</v>
      </c>
      <c r="G27" s="2">
        <f t="shared" si="1"/>
        <v>-5.274126353253461E-2</v>
      </c>
      <c r="H27">
        <f>MAX($E$2:E27)</f>
        <v>474.95999</v>
      </c>
      <c r="I27">
        <f t="shared" si="0"/>
        <v>-5.2741263532534562E-2</v>
      </c>
    </row>
    <row r="28" spans="1:9" x14ac:dyDescent="0.3">
      <c r="A28" s="1">
        <v>44620</v>
      </c>
      <c r="B28">
        <v>450.67998999999998</v>
      </c>
      <c r="C28">
        <v>458.12</v>
      </c>
      <c r="D28">
        <v>410.64001000000002</v>
      </c>
      <c r="E28">
        <v>436.63</v>
      </c>
      <c r="F28">
        <v>2297975100</v>
      </c>
      <c r="G28" s="2">
        <f t="shared" si="1"/>
        <v>-2.9517014514014006E-2</v>
      </c>
      <c r="H28">
        <f>MAX($E$2:E28)</f>
        <v>474.95999</v>
      </c>
      <c r="I28">
        <f t="shared" si="0"/>
        <v>-8.0701513405371281E-2</v>
      </c>
    </row>
    <row r="29" spans="1:9" x14ac:dyDescent="0.3">
      <c r="A29" s="1">
        <v>44651</v>
      </c>
      <c r="B29">
        <v>435.040009</v>
      </c>
      <c r="C29">
        <v>462.07000699999998</v>
      </c>
      <c r="D29">
        <v>415.12</v>
      </c>
      <c r="E29">
        <v>451.64001000000002</v>
      </c>
      <c r="F29">
        <v>2380929500</v>
      </c>
      <c r="G29" s="2">
        <f t="shared" si="1"/>
        <v>3.4376955316858693E-2</v>
      </c>
      <c r="H29">
        <f>MAX($E$2:E29)</f>
        <v>474.95999</v>
      </c>
      <c r="I29">
        <f t="shared" si="0"/>
        <v>-4.9098830408851886E-2</v>
      </c>
    </row>
    <row r="30" spans="1:9" x14ac:dyDescent="0.3">
      <c r="A30" s="1">
        <v>44680</v>
      </c>
      <c r="B30">
        <v>453.31</v>
      </c>
      <c r="C30">
        <v>457.82999000000001</v>
      </c>
      <c r="D30">
        <v>411.20999</v>
      </c>
      <c r="E30">
        <v>412</v>
      </c>
      <c r="F30">
        <v>1856757400</v>
      </c>
      <c r="G30" s="2">
        <f t="shared" si="1"/>
        <v>-8.7769039771299351E-2</v>
      </c>
      <c r="H30">
        <f>MAX($E$2:E30)</f>
        <v>474.95999</v>
      </c>
      <c r="I30">
        <f t="shared" si="0"/>
        <v>-0.13255851298127239</v>
      </c>
    </row>
    <row r="31" spans="1:9" x14ac:dyDescent="0.3">
      <c r="A31" s="1">
        <v>44712</v>
      </c>
      <c r="B31">
        <v>412.07000699999998</v>
      </c>
      <c r="C31">
        <v>429.66</v>
      </c>
      <c r="D31">
        <v>380.54001</v>
      </c>
      <c r="E31">
        <v>412.92998999999998</v>
      </c>
      <c r="F31">
        <v>2418478100</v>
      </c>
      <c r="G31" s="2">
        <f t="shared" si="1"/>
        <v>2.2572572815533487E-3</v>
      </c>
      <c r="H31">
        <f>MAX($E$2:E31)</f>
        <v>474.95999</v>
      </c>
      <c r="I31">
        <f t="shared" si="0"/>
        <v>-0.13060047436837791</v>
      </c>
    </row>
    <row r="32" spans="1:9" x14ac:dyDescent="0.3">
      <c r="A32" s="1">
        <v>44742</v>
      </c>
      <c r="B32">
        <v>415.17000999999999</v>
      </c>
      <c r="C32">
        <v>417.44</v>
      </c>
      <c r="D32">
        <v>362.17000999999999</v>
      </c>
      <c r="E32">
        <v>377.25</v>
      </c>
      <c r="F32">
        <v>1958611900</v>
      </c>
      <c r="G32" s="2">
        <f t="shared" si="1"/>
        <v>-8.6406874928120381E-2</v>
      </c>
      <c r="H32">
        <f>MAX($E$2:E32)</f>
        <v>474.95999</v>
      </c>
      <c r="I32">
        <f t="shared" si="0"/>
        <v>-0.20572257044219663</v>
      </c>
    </row>
    <row r="33" spans="1:9" x14ac:dyDescent="0.3">
      <c r="A33" s="1">
        <v>44771</v>
      </c>
      <c r="B33">
        <v>376.56</v>
      </c>
      <c r="C33">
        <v>413.02999899999998</v>
      </c>
      <c r="D33">
        <v>371.040009</v>
      </c>
      <c r="E33">
        <v>411.98998999999998</v>
      </c>
      <c r="F33">
        <v>1437748400</v>
      </c>
      <c r="G33" s="2">
        <f t="shared" si="1"/>
        <v>9.2087448641484437E-2</v>
      </c>
      <c r="H33">
        <f>MAX($E$2:E33)</f>
        <v>474.95999</v>
      </c>
      <c r="I33">
        <f t="shared" si="0"/>
        <v>-0.1325795884407022</v>
      </c>
    </row>
    <row r="34" spans="1:9" x14ac:dyDescent="0.3">
      <c r="A34" s="1">
        <v>44804</v>
      </c>
      <c r="B34">
        <v>409.14999</v>
      </c>
      <c r="C34">
        <v>431.73000999999999</v>
      </c>
      <c r="D34">
        <v>395.040009</v>
      </c>
      <c r="E34">
        <v>395.17998999999998</v>
      </c>
      <c r="F34">
        <v>1443394400</v>
      </c>
      <c r="G34" s="2">
        <f t="shared" si="1"/>
        <v>-4.0801962203013686E-2</v>
      </c>
      <c r="H34">
        <f>MAX($E$2:E34)</f>
        <v>474.95999</v>
      </c>
      <c r="I34">
        <f t="shared" si="0"/>
        <v>-0.16797204328726728</v>
      </c>
    </row>
    <row r="35" spans="1:9" x14ac:dyDescent="0.3">
      <c r="A35" s="1">
        <v>44834</v>
      </c>
      <c r="B35">
        <v>392.89001000000002</v>
      </c>
      <c r="C35">
        <v>411.73000999999999</v>
      </c>
      <c r="D35">
        <v>357.040009</v>
      </c>
      <c r="E35">
        <v>357.17998999999998</v>
      </c>
      <c r="F35">
        <v>1998908600</v>
      </c>
      <c r="G35" s="2">
        <f t="shared" si="1"/>
        <v>-9.615871491873873E-2</v>
      </c>
      <c r="H35">
        <f>MAX($E$2:E35)</f>
        <v>474.95999</v>
      </c>
      <c r="I35">
        <f t="shared" si="0"/>
        <v>-0.24797878238122759</v>
      </c>
    </row>
    <row r="36" spans="1:9" x14ac:dyDescent="0.3">
      <c r="A36" s="1">
        <v>44865</v>
      </c>
      <c r="B36">
        <v>361.07998700000002</v>
      </c>
      <c r="C36">
        <v>389.51999000000001</v>
      </c>
      <c r="D36">
        <v>348.10998999999998</v>
      </c>
      <c r="E36">
        <v>386.20999</v>
      </c>
      <c r="F36">
        <v>2024732000</v>
      </c>
      <c r="G36" s="2">
        <f t="shared" si="1"/>
        <v>8.1275549618555099E-2</v>
      </c>
      <c r="H36">
        <f>MAX($E$2:E36)</f>
        <v>474.95999</v>
      </c>
      <c r="I36">
        <f t="shared" si="0"/>
        <v>-0.18685784459444679</v>
      </c>
    </row>
    <row r="37" spans="1:9" x14ac:dyDescent="0.3">
      <c r="A37" s="1">
        <v>44895</v>
      </c>
      <c r="B37">
        <v>390.14001000000002</v>
      </c>
      <c r="C37">
        <v>407.67998999999998</v>
      </c>
      <c r="D37">
        <v>368.79001</v>
      </c>
      <c r="E37">
        <v>407.67998999999998</v>
      </c>
      <c r="F37">
        <v>1745985300</v>
      </c>
      <c r="G37" s="2">
        <f t="shared" si="1"/>
        <v>5.5591519007573975E-2</v>
      </c>
      <c r="H37">
        <f>MAX($E$2:E37)</f>
        <v>474.95999</v>
      </c>
      <c r="I37">
        <f t="shared" si="0"/>
        <v>-0.14165403700635926</v>
      </c>
    </row>
    <row r="38" spans="1:9" x14ac:dyDescent="0.3">
      <c r="A38" s="1">
        <v>44925</v>
      </c>
      <c r="B38">
        <v>408.76999000000001</v>
      </c>
      <c r="C38">
        <v>410.48998999999998</v>
      </c>
      <c r="D38">
        <v>374.76999000000001</v>
      </c>
      <c r="E38">
        <v>382.42998999999998</v>
      </c>
      <c r="F38">
        <v>1735973600</v>
      </c>
      <c r="G38" s="2">
        <f t="shared" si="1"/>
        <v>-6.1935833544344399E-2</v>
      </c>
      <c r="H38">
        <f>MAX($E$2:E38)</f>
        <v>474.95999</v>
      </c>
      <c r="I38">
        <f t="shared" si="0"/>
        <v>-0.19481640969379344</v>
      </c>
    </row>
    <row r="39" spans="1:9" x14ac:dyDescent="0.3">
      <c r="A39" s="1">
        <v>44957</v>
      </c>
      <c r="B39">
        <v>384.37</v>
      </c>
      <c r="C39">
        <v>408.16</v>
      </c>
      <c r="D39">
        <v>377.82999000000001</v>
      </c>
      <c r="E39">
        <v>406.48000999999999</v>
      </c>
      <c r="F39">
        <v>1575450100</v>
      </c>
      <c r="G39" s="2">
        <f t="shared" si="1"/>
        <v>6.2887379726678905E-2</v>
      </c>
      <c r="H39">
        <f>MAX($E$2:E39)</f>
        <v>474.95999</v>
      </c>
      <c r="I39">
        <f t="shared" si="0"/>
        <v>-0.14418052350051636</v>
      </c>
    </row>
    <row r="40" spans="1:9" x14ac:dyDescent="0.3">
      <c r="A40" s="1">
        <v>44985</v>
      </c>
      <c r="B40">
        <v>405.20999</v>
      </c>
      <c r="C40">
        <v>418.31</v>
      </c>
      <c r="D40">
        <v>393.64001000000002</v>
      </c>
      <c r="E40">
        <v>396.26001000000002</v>
      </c>
      <c r="F40">
        <v>1603094700</v>
      </c>
      <c r="G40" s="2">
        <f t="shared" si="1"/>
        <v>-2.5142687828609289E-2</v>
      </c>
      <c r="H40">
        <f>MAX($E$2:E40)</f>
        <v>474.95999</v>
      </c>
      <c r="I40">
        <f t="shared" si="0"/>
        <v>-0.16569812543578666</v>
      </c>
    </row>
    <row r="41" spans="1:9" x14ac:dyDescent="0.3">
      <c r="A41" s="1">
        <v>45016</v>
      </c>
      <c r="B41">
        <v>395.41</v>
      </c>
      <c r="C41">
        <v>409.70001000000002</v>
      </c>
      <c r="D41">
        <v>380.64999</v>
      </c>
      <c r="E41">
        <v>409.39001000000002</v>
      </c>
      <c r="F41">
        <v>2515995800</v>
      </c>
      <c r="G41" s="2">
        <f t="shared" si="1"/>
        <v>3.3134809641780283E-2</v>
      </c>
      <c r="H41">
        <f>MAX($E$2:E41)</f>
        <v>474.95999</v>
      </c>
      <c r="I41">
        <f t="shared" si="0"/>
        <v>-0.13805369163832093</v>
      </c>
    </row>
    <row r="42" spans="1:9" x14ac:dyDescent="0.3">
      <c r="A42" s="1">
        <v>45044</v>
      </c>
      <c r="B42">
        <v>408.85001</v>
      </c>
      <c r="C42">
        <v>415.94</v>
      </c>
      <c r="D42">
        <v>403.78</v>
      </c>
      <c r="E42">
        <v>415.92998999999998</v>
      </c>
      <c r="F42">
        <v>1395683000</v>
      </c>
      <c r="G42" s="2">
        <f t="shared" si="1"/>
        <v>1.5974937932657252E-2</v>
      </c>
      <c r="H42">
        <f>MAX($E$2:E42)</f>
        <v>474.95999</v>
      </c>
      <c r="I42">
        <f t="shared" si="0"/>
        <v>-0.12428415286095999</v>
      </c>
    </row>
    <row r="43" spans="1:9" x14ac:dyDescent="0.3">
      <c r="A43" s="1">
        <v>45077</v>
      </c>
      <c r="B43">
        <v>415.47</v>
      </c>
      <c r="C43">
        <v>422.57999000000001</v>
      </c>
      <c r="D43">
        <v>403.73998999999998</v>
      </c>
      <c r="E43">
        <v>417.85001</v>
      </c>
      <c r="F43">
        <v>1780705600</v>
      </c>
      <c r="G43" s="2">
        <f t="shared" si="1"/>
        <v>4.6162095693076388E-3</v>
      </c>
      <c r="H43">
        <f>MAX($E$2:E43)</f>
        <v>474.95999</v>
      </c>
      <c r="I43">
        <f t="shared" si="0"/>
        <v>-0.12024166498740242</v>
      </c>
    </row>
    <row r="44" spans="1:9" x14ac:dyDescent="0.3">
      <c r="A44" s="1">
        <v>45107</v>
      </c>
      <c r="B44">
        <v>418.08999599999999</v>
      </c>
      <c r="C44">
        <v>444.29998999999998</v>
      </c>
      <c r="D44">
        <v>416.79001</v>
      </c>
      <c r="E44">
        <v>443.28</v>
      </c>
      <c r="F44">
        <v>1749755000</v>
      </c>
      <c r="G44" s="2">
        <f t="shared" si="1"/>
        <v>6.0859134597124775E-2</v>
      </c>
      <c r="H44">
        <f>MAX($E$2:E44)</f>
        <v>474.95999</v>
      </c>
      <c r="I44">
        <f t="shared" si="0"/>
        <v>-6.6700334063928279E-2</v>
      </c>
    </row>
    <row r="45" spans="1:9" x14ac:dyDescent="0.3">
      <c r="A45" s="1">
        <v>45138</v>
      </c>
      <c r="B45">
        <v>442.92000999999999</v>
      </c>
      <c r="C45">
        <v>459.44</v>
      </c>
      <c r="D45">
        <v>437.05999800000001</v>
      </c>
      <c r="E45">
        <v>457.79001</v>
      </c>
      <c r="F45">
        <v>1374632400</v>
      </c>
      <c r="G45" s="2">
        <f t="shared" si="1"/>
        <v>3.2733283703302751E-2</v>
      </c>
      <c r="H45">
        <f>MAX($E$2:E45)</f>
        <v>474.95999</v>
      </c>
      <c r="I45">
        <f t="shared" si="0"/>
        <v>-3.6150371318645194E-2</v>
      </c>
    </row>
    <row r="46" spans="1:9" x14ac:dyDescent="0.3">
      <c r="A46" s="1">
        <v>45169</v>
      </c>
      <c r="B46">
        <v>456.26999000000001</v>
      </c>
      <c r="C46">
        <v>457.25</v>
      </c>
      <c r="D46">
        <v>433.01001000000002</v>
      </c>
      <c r="E46">
        <v>450.35001</v>
      </c>
      <c r="F46">
        <v>1754764700</v>
      </c>
      <c r="G46" s="2">
        <f t="shared" si="1"/>
        <v>-1.6251992917014513E-2</v>
      </c>
      <c r="H46">
        <f>MAX($E$2:E46)</f>
        <v>474.95999</v>
      </c>
      <c r="I46">
        <f t="shared" si="0"/>
        <v>-5.1814848657041633E-2</v>
      </c>
    </row>
    <row r="47" spans="1:9" x14ac:dyDescent="0.3">
      <c r="A47" s="1">
        <v>45198</v>
      </c>
      <c r="B47">
        <v>453.17000999999999</v>
      </c>
      <c r="C47">
        <v>453.67000999999999</v>
      </c>
      <c r="D47">
        <v>422.29001</v>
      </c>
      <c r="E47">
        <v>427.48000999999999</v>
      </c>
      <c r="F47">
        <v>1588673200</v>
      </c>
      <c r="G47" s="2">
        <f t="shared" si="1"/>
        <v>-5.0782723419946163E-2</v>
      </c>
      <c r="H47">
        <f>MAX($E$2:E47)</f>
        <v>474.95999</v>
      </c>
      <c r="I47">
        <f t="shared" si="0"/>
        <v>-9.9966272948590909E-2</v>
      </c>
    </row>
    <row r="48" spans="1:9" x14ac:dyDescent="0.3">
      <c r="A48" s="1">
        <v>45230</v>
      </c>
      <c r="B48">
        <v>426.62</v>
      </c>
      <c r="C48">
        <v>438.14001000000002</v>
      </c>
      <c r="D48">
        <v>409.20999</v>
      </c>
      <c r="E48">
        <v>418.20001000000002</v>
      </c>
      <c r="F48">
        <v>1999149700</v>
      </c>
      <c r="G48" s="2">
        <f t="shared" si="1"/>
        <v>-2.1708617439210709E-2</v>
      </c>
      <c r="H48">
        <f>MAX($E$2:E48)</f>
        <v>474.95999</v>
      </c>
      <c r="I48">
        <f t="shared" si="0"/>
        <v>-0.11950476081153695</v>
      </c>
    </row>
    <row r="49" spans="1:9" x14ac:dyDescent="0.3">
      <c r="A49" s="1">
        <v>45260</v>
      </c>
      <c r="B49">
        <v>419.20001000000002</v>
      </c>
      <c r="C49">
        <v>458.32001000000002</v>
      </c>
      <c r="D49">
        <v>418.64999</v>
      </c>
      <c r="E49">
        <v>456.39999</v>
      </c>
      <c r="F49">
        <v>1499960600</v>
      </c>
      <c r="G49" s="2">
        <f t="shared" si="1"/>
        <v>9.1343804606795587E-2</v>
      </c>
      <c r="H49">
        <f>MAX($E$2:E49)</f>
        <v>474.95999</v>
      </c>
      <c r="I49">
        <f t="shared" si="0"/>
        <v>-3.90769757258922E-2</v>
      </c>
    </row>
    <row r="50" spans="1:9" x14ac:dyDescent="0.3">
      <c r="A50" s="1">
        <v>45289</v>
      </c>
      <c r="B50">
        <v>455.76999000000001</v>
      </c>
      <c r="C50">
        <v>477.54998999999998</v>
      </c>
      <c r="D50">
        <v>454.31</v>
      </c>
      <c r="E50">
        <v>475.31</v>
      </c>
      <c r="F50">
        <v>1643108100</v>
      </c>
      <c r="G50" s="2">
        <f t="shared" si="1"/>
        <v>4.1432976367944185E-2</v>
      </c>
      <c r="H50">
        <f>MAX($E$2:E50)</f>
        <v>475.31</v>
      </c>
      <c r="I50">
        <f t="shared" si="0"/>
        <v>0</v>
      </c>
    </row>
    <row r="51" spans="1:9" x14ac:dyDescent="0.3">
      <c r="A51" s="1">
        <v>45322</v>
      </c>
      <c r="B51">
        <v>472.16</v>
      </c>
      <c r="C51">
        <v>491.62</v>
      </c>
      <c r="D51">
        <v>466.42998999999998</v>
      </c>
      <c r="E51">
        <v>482.88</v>
      </c>
      <c r="F51">
        <v>1700630800</v>
      </c>
      <c r="G51" s="2">
        <f t="shared" si="1"/>
        <v>1.592644800235643E-2</v>
      </c>
      <c r="H51">
        <f>MAX($E$2:E51)</f>
        <v>482.88</v>
      </c>
      <c r="I51">
        <f t="shared" si="0"/>
        <v>0</v>
      </c>
    </row>
    <row r="52" spans="1:9" x14ac:dyDescent="0.3">
      <c r="A52" s="1">
        <v>45351</v>
      </c>
      <c r="B52">
        <v>484.63</v>
      </c>
      <c r="C52">
        <v>510.13</v>
      </c>
      <c r="D52">
        <v>483.79998999999998</v>
      </c>
      <c r="E52">
        <v>508.07998700000002</v>
      </c>
      <c r="F52">
        <v>1393465400</v>
      </c>
      <c r="G52" s="2">
        <f t="shared" si="1"/>
        <v>5.2186851805831713E-2</v>
      </c>
      <c r="H52">
        <f>MAX($E$2:E52)</f>
        <v>508.07998700000002</v>
      </c>
      <c r="I52">
        <f t="shared" si="0"/>
        <v>0</v>
      </c>
    </row>
    <row r="53" spans="1:9" x14ac:dyDescent="0.3">
      <c r="A53" s="1">
        <v>45379</v>
      </c>
      <c r="B53">
        <v>508.98000999999999</v>
      </c>
      <c r="C53">
        <v>524.60999000000004</v>
      </c>
      <c r="D53">
        <v>504.91</v>
      </c>
      <c r="E53">
        <v>523.07000700000003</v>
      </c>
      <c r="F53">
        <v>1473246900</v>
      </c>
      <c r="G53" s="2">
        <f t="shared" si="1"/>
        <v>2.9503267956901391E-2</v>
      </c>
      <c r="H53">
        <f>MAX($E$2:E53)</f>
        <v>523.07000700000003</v>
      </c>
      <c r="I53">
        <f t="shared" si="0"/>
        <v>0</v>
      </c>
    </row>
    <row r="54" spans="1:9" x14ac:dyDescent="0.3">
      <c r="A54" s="1">
        <v>45412</v>
      </c>
      <c r="B54">
        <v>523.83001999999999</v>
      </c>
      <c r="C54">
        <v>524.38</v>
      </c>
      <c r="D54">
        <v>493.85998999999998</v>
      </c>
      <c r="E54">
        <v>501.98000999999999</v>
      </c>
      <c r="F54">
        <v>1592974000</v>
      </c>
      <c r="G54" s="2">
        <f t="shared" si="1"/>
        <v>-4.031964501455354E-2</v>
      </c>
      <c r="H54">
        <f>MAX($E$2:E54)</f>
        <v>523.07000700000003</v>
      </c>
      <c r="I54">
        <f t="shared" si="0"/>
        <v>-4.0319645014553547E-2</v>
      </c>
    </row>
    <row r="55" spans="1:9" x14ac:dyDescent="0.3">
      <c r="A55" s="1">
        <v>45443</v>
      </c>
      <c r="B55">
        <v>501.38</v>
      </c>
      <c r="C55">
        <v>533.07000700000003</v>
      </c>
      <c r="D55">
        <v>499.54998999999998</v>
      </c>
      <c r="E55">
        <v>527.37</v>
      </c>
      <c r="F55">
        <v>1153264400</v>
      </c>
      <c r="G55" s="2">
        <f t="shared" si="1"/>
        <v>5.0579683441976053E-2</v>
      </c>
      <c r="H55">
        <f>MAX($E$2:E55)</f>
        <v>527.37</v>
      </c>
      <c r="I55">
        <f t="shared" si="0"/>
        <v>0</v>
      </c>
    </row>
    <row r="56" spans="1:9" x14ac:dyDescent="0.3">
      <c r="A56" s="1">
        <v>45471</v>
      </c>
      <c r="B56">
        <v>529.02002000000005</v>
      </c>
      <c r="C56">
        <v>550.28003000000001</v>
      </c>
      <c r="D56">
        <v>522.59997999999996</v>
      </c>
      <c r="E56">
        <v>544.21996999999999</v>
      </c>
      <c r="F56">
        <v>888923200</v>
      </c>
      <c r="G56" s="2">
        <f t="shared" si="1"/>
        <v>3.1950945256650876E-2</v>
      </c>
      <c r="H56">
        <f>MAX($E$2:E56)</f>
        <v>544.21996999999999</v>
      </c>
      <c r="I56">
        <f t="shared" si="0"/>
        <v>0</v>
      </c>
    </row>
    <row r="57" spans="1:9" x14ac:dyDescent="0.3">
      <c r="A57" s="1">
        <v>45504</v>
      </c>
      <c r="B57">
        <v>545.63</v>
      </c>
      <c r="C57">
        <v>565.15997000000004</v>
      </c>
      <c r="D57">
        <v>537.45001000000002</v>
      </c>
      <c r="E57">
        <v>550.80999999999995</v>
      </c>
      <c r="F57">
        <v>1038465500</v>
      </c>
      <c r="G57" s="2">
        <f t="shared" si="1"/>
        <v>1.2109129328716106E-2</v>
      </c>
      <c r="H57">
        <f>MAX($E$2:E57)</f>
        <v>550.80999999999995</v>
      </c>
      <c r="I57">
        <f>(E57-H57)/H57</f>
        <v>0</v>
      </c>
    </row>
    <row r="58" spans="1:9" x14ac:dyDescent="0.3">
      <c r="A58" s="1">
        <v>45534</v>
      </c>
      <c r="B58">
        <v>552.57001000000002</v>
      </c>
      <c r="C58">
        <v>564.20001000000002</v>
      </c>
      <c r="D58">
        <v>510.26999000000001</v>
      </c>
      <c r="E58">
        <v>563.67998999999998</v>
      </c>
      <c r="F58">
        <v>1244599000</v>
      </c>
      <c r="G58" s="2">
        <f t="shared" si="1"/>
        <v>2.3365570704961813E-2</v>
      </c>
      <c r="H58">
        <f>MAX($E$2:E58)</f>
        <v>563.67998999999998</v>
      </c>
      <c r="I58">
        <f t="shared" si="0"/>
        <v>0</v>
      </c>
    </row>
    <row r="59" spans="1:9" x14ac:dyDescent="0.3">
      <c r="A59" s="1">
        <v>45565</v>
      </c>
      <c r="B59">
        <v>560.46996999999999</v>
      </c>
      <c r="C59">
        <v>574.71001999999999</v>
      </c>
      <c r="D59">
        <v>539.44000000000005</v>
      </c>
      <c r="E59">
        <v>573.76000999999997</v>
      </c>
      <c r="F59">
        <v>1045061400</v>
      </c>
      <c r="G59" s="2">
        <f t="shared" si="1"/>
        <v>1.7882522315542992E-2</v>
      </c>
      <c r="H59">
        <f>MAX($E$2:E59)</f>
        <v>573.76000999999997</v>
      </c>
      <c r="I59">
        <f t="shared" si="0"/>
        <v>0</v>
      </c>
    </row>
    <row r="60" spans="1:9" x14ac:dyDescent="0.3">
      <c r="A60" s="1">
        <v>45596</v>
      </c>
      <c r="B60">
        <v>573.40002000000004</v>
      </c>
      <c r="C60">
        <v>586.12</v>
      </c>
      <c r="D60">
        <v>565.27002000000005</v>
      </c>
      <c r="E60">
        <v>568.64000999999996</v>
      </c>
      <c r="F60">
        <v>976068800</v>
      </c>
      <c r="G60" s="2">
        <f t="shared" si="1"/>
        <v>-8.9235915901493268E-3</v>
      </c>
      <c r="H60">
        <f>MAX($E$2:E60)</f>
        <v>573.76000999999997</v>
      </c>
      <c r="I60">
        <f t="shared" si="0"/>
        <v>-8.9235915901493459E-3</v>
      </c>
    </row>
    <row r="61" spans="1:9" x14ac:dyDescent="0.3">
      <c r="A61" s="1">
        <v>45625</v>
      </c>
      <c r="B61">
        <v>571.32001000000002</v>
      </c>
      <c r="C61">
        <v>603.34997999999996</v>
      </c>
      <c r="D61">
        <v>567.89000999999996</v>
      </c>
      <c r="E61">
        <v>602.54998999999998</v>
      </c>
      <c r="F61">
        <v>901843000</v>
      </c>
      <c r="G61" s="2">
        <f t="shared" si="1"/>
        <v>5.9633475315955975E-2</v>
      </c>
      <c r="H61">
        <f>MAX($E$2:E61)</f>
        <v>602.54998999999998</v>
      </c>
      <c r="I61">
        <f t="shared" si="0"/>
        <v>0</v>
      </c>
    </row>
    <row r="62" spans="1:9" x14ac:dyDescent="0.3">
      <c r="A62" s="1">
        <v>45657</v>
      </c>
      <c r="B62">
        <v>602.96996999999999</v>
      </c>
      <c r="C62">
        <v>609.07000700000003</v>
      </c>
      <c r="D62">
        <v>580.90997000000004</v>
      </c>
      <c r="E62">
        <v>586.080017</v>
      </c>
      <c r="F62">
        <v>1059516700</v>
      </c>
      <c r="G62" s="2">
        <f t="shared" si="1"/>
        <v>-2.7333786861402087E-2</v>
      </c>
      <c r="H62">
        <f>MAX($E$2:E62)</f>
        <v>602.54998999999998</v>
      </c>
      <c r="I62">
        <f t="shared" si="0"/>
        <v>-2.7333786861402126E-2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MSFT_Monthly</vt:lpstr>
      <vt:lpstr>MSFT_WACC</vt:lpstr>
      <vt:lpstr>SPY_Monthly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Tipirneni, Madhu</dc:creator>
  <cp:lastModifiedBy>Uharika Burjukindi</cp:lastModifiedBy>
  <dcterms:created xsi:type="dcterms:W3CDTF">2025-11-18T14:10:19Z</dcterms:created>
  <dcterms:modified xsi:type="dcterms:W3CDTF">2025-11-28T07:32:27Z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cca6c-e829-4b3f-8dfa-fbdb2a4ac01b_Enabled">
    <vt:lpwstr>true</vt:lpwstr>
  </property>
  <property fmtid="{D5CDD505-2E9C-101B-9397-08002B2CF9AE}" pid="3" name="MSIP_Label_0c3cca6c-e829-4b3f-8dfa-fbdb2a4ac01b_SetDate">
    <vt:lpwstr>2025-11-18T14:10:19Z</vt:lpwstr>
  </property>
  <property fmtid="{D5CDD505-2E9C-101B-9397-08002B2CF9AE}" pid="4" name="MSIP_Label_0c3cca6c-e829-4b3f-8dfa-fbdb2a4ac01b_Method">
    <vt:lpwstr>Standard</vt:lpwstr>
  </property>
  <property fmtid="{D5CDD505-2E9C-101B-9397-08002B2CF9AE}" pid="5" name="MSIP_Label_0c3cca6c-e829-4b3f-8dfa-fbdb2a4ac01b_Name">
    <vt:lpwstr>Internal - General</vt:lpwstr>
  </property>
  <property fmtid="{D5CDD505-2E9C-101B-9397-08002B2CF9AE}" pid="6" name="MSIP_Label_0c3cca6c-e829-4b3f-8dfa-fbdb2a4ac01b_SiteId">
    <vt:lpwstr>c73bf3ef-87e9-48e0-ac85-9c723e6cca39</vt:lpwstr>
  </property>
  <property fmtid="{D5CDD505-2E9C-101B-9397-08002B2CF9AE}" pid="7" name="MSIP_Label_0c3cca6c-e829-4b3f-8dfa-fbdb2a4ac01b_ActionId">
    <vt:lpwstr>ba06af4e-cacd-49cf-8f86-acd42a71578a</vt:lpwstr>
  </property>
  <property fmtid="{D5CDD505-2E9C-101B-9397-08002B2CF9AE}" pid="8" name="MSIP_Label_0c3cca6c-e829-4b3f-8dfa-fbdb2a4ac01b_ContentBits">
    <vt:lpwstr>0</vt:lpwstr>
  </property>
</Properties>
</file>